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f43b39901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82a6d8dee4946fc"/>
    <x:sheet xmlns:r="http://schemas.openxmlformats.org/officeDocument/2006/relationships" name="Pre Test Key" sheetId="2" r:id="R3039bbee990341c2"/>
    <x:sheet xmlns:r="http://schemas.openxmlformats.org/officeDocument/2006/relationships" name="Post Test Key" sheetId="3" r:id="R59fe8449945c4714"/>
    <x:sheet xmlns:r="http://schemas.openxmlformats.org/officeDocument/2006/relationships" name="Participant Scores" sheetId="4" r:id="R123eaf38610f4ca9"/>
    <x:sheet xmlns:r="http://schemas.openxmlformats.org/officeDocument/2006/relationships" name="Summary" sheetId="5" r:id="Rda6be7e382d0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9932e958e4a15" /><Relationship Type="http://schemas.openxmlformats.org/officeDocument/2006/relationships/theme" Target="/xl/theme/theme1.xml" Id="Rf02322b85dd44011" /><Relationship Type="http://schemas.openxmlformats.org/officeDocument/2006/relationships/sharedStrings" Target="/xl/sharedStrings.xml" Id="R6d1954960b224dd2" /><Relationship Type="http://schemas.openxmlformats.org/officeDocument/2006/relationships/worksheet" Target="/xl/worksheets/sheet1.xml" Id="Re82a6d8dee4946fc" /><Relationship Type="http://schemas.openxmlformats.org/officeDocument/2006/relationships/worksheet" Target="/xl/worksheets/sheet2.xml" Id="R3039bbee990341c2" /><Relationship Type="http://schemas.openxmlformats.org/officeDocument/2006/relationships/worksheet" Target="/xl/worksheets/sheet3.xml" Id="R59fe8449945c4714" /><Relationship Type="http://schemas.openxmlformats.org/officeDocument/2006/relationships/worksheet" Target="/xl/worksheets/sheet4.xml" Id="R123eaf38610f4ca9" /><Relationship Type="http://schemas.openxmlformats.org/officeDocument/2006/relationships/worksheet" Target="/xl/worksheets/sheet5.xml" Id="Rda6be7e382d04b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c91fff19d749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 vs Post Pilot Measures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Pre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Post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c91fff19d7490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f829dcc9f7442c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5" t="str">
        <x:v>Safe Loan Check — 30-Participant Pilot Scoring Tracker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Pilot target</x:v>
      </x:c>
      <x:c r="B3" s="15" t="str">
        <x:v>30 student volunteers with informed consent</x:v>
      </x:c>
    </x:row>
    <x:row r="4">
      <x:c r="A4" s="14" t="str">
        <x:v>Pre-test</x:v>
      </x:c>
      <x:c r="B4" s="15" t="str">
        <x:v>10 app items + 2 loan-cost estimates + confidence rating</x:v>
      </x:c>
    </x:row>
    <x:row r="5">
      <x:c r="A5" s="14" t="str">
        <x:v>Intervention</x:v>
      </x:c>
      <x:c r="B5" s="15" t="str">
        <x:v>Use Safe Loan Check for 15–20 minutes</x:v>
      </x:c>
    </x:row>
    <x:row r="6">
      <x:c r="A6" s="14" t="str">
        <x:v>Post-test</x:v>
      </x:c>
      <x:c r="B6" s="15" t="str">
        <x:v>Different 10 app items + 2 loan-cost estimates + confidence + usability</x:v>
      </x:c>
    </x:row>
    <x:row r="7">
      <x:c r="A7" s="14" t="str">
        <x:v>Primary measure</x:v>
      </x:c>
      <x:c r="B7" s="15" t="str">
        <x:v>Change in app-risk classification accuracy</x:v>
      </x:c>
    </x:row>
    <x:row r="8">
      <x:c r="A8" s="14" t="str">
        <x:v>Secondary measures</x:v>
      </x:c>
      <x:c r="B8" s="15" t="str">
        <x:v>Cost-estimate accuracy, confidence, usability</x:v>
      </x:c>
    </x:row>
    <x:row r="9">
      <x:c r="A9" s="14" t="str">
        <x:v>Privacy</x:v>
      </x:c>
      <x:c r="B9" s="15" t="str">
        <x:v>Use Participant IDs only (P01–P30). Do not collect names, phone numbers, bank details or personal loan amounts.</x:v>
      </x:c>
    </x:row>
    <x:row r="10">
      <x:c r="A10" s="14" t="str">
        <x:v>Scoring</x:v>
      </x:c>
      <x:c r="B10" s="15" t="str">
        <x:v>Verified project label = Lower concern; Risky project label = Higher concern. This is a pilot scoring convention, not a legal finding.</x:v>
      </x:c>
    </x:row>
    <x:row r="11">
      <x:c r="A11" s="14" t="str">
        <x:v>Cost correctness</x:v>
      </x:c>
      <x:c r="B11" s="15" t="str">
        <x:v>Within ±5% of the expected total repayable counts as correct.</x:v>
      </x:c>
    </x:row>
    <x:row r="12">
      <x:c r="A12" s="14" t="str">
        <x:v>Reporting</x:v>
      </x:c>
      <x:c r="B12" s="15" t="str">
        <x:v>Report the results honestly, even if improvement is small or negative.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18" hidden="0" customWidth="1"/>
    <x:col min="5" max="5" width="46" hidden="0" customWidth="1"/>
    <x:col min="6" max="6" width="60" hidden="0" customWidth="1"/>
  </x:cols>
  <x:sheetData>
    <x:row r="1">
      <x:c r="A1" s="22" t="str">
        <x:v>Q#</x:v>
      </x:c>
      <x:c r="B1" s="22" t="str">
        <x:v>App / Item</x:v>
      </x:c>
      <x:c r="C1" s="22" t="str">
        <x:v>Project label</x:v>
      </x:c>
      <x:c r="D1" s="22" t="str">
        <x:v>Pilot answer</x:v>
      </x:c>
      <x:c r="E1" s="22" t="str">
        <x:v>Evidence / source note</x:v>
      </x:c>
      <x:c r="F1" s="22" t="str">
        <x:v>Source URL</x:v>
      </x:c>
    </x:row>
    <x:row r="2">
      <x:c r="A2" s="15" t="n">
        <x:v>1</x:v>
      </x:c>
      <x:c r="B2" s="15" t="str">
        <x:v>Lendingkart Android Mobile App</x:v>
      </x:c>
      <x:c r="C2" s="15" t="str">
        <x:v>Verified</x:v>
      </x:c>
      <x:c r="D2" s="15" t="str">
        <x:v>Lower concern</x:v>
      </x:c>
      <x:c r="E2" s="15" t="str">
        <x:v>Appears in project RBI DLA directory sample.</x:v>
      </x:c>
      <x:c r="F2" s="15" t="str">
        <x:v>https://data.rbi.org.in/</x:v>
      </x:c>
    </x:row>
    <x:row r="3">
      <x:c r="A3" s="15" t="n">
        <x:v>2</x:v>
      </x:c>
      <x:c r="B3" s="15" t="str">
        <x:v>ActLoan</x:v>
      </x:c>
      <x:c r="C3" s="15" t="str">
        <x:v>Risky</x:v>
      </x:c>
      <x:c r="D3" s="15" t="str">
        <x:v>Higher concern</x:v>
      </x:c>
      <x:c r="E3" s="15" t="str">
        <x:v>RBI enforcement evidence seed in project dataset.</x:v>
      </x:c>
      <x:c r="F3" s="15" t="str">
        <x:v>https://www.rbi.org.in/scripts/FS_PressRelease.aspx?prid=57801</x:v>
      </x:c>
    </x:row>
    <x:row r="4">
      <x:c r="A4" s="15" t="n">
        <x:v>3</x:v>
      </x:c>
      <x:c r="B4" s="15" t="str">
        <x:v>HDFC Bank Mobile Banking App</x:v>
      </x:c>
      <x:c r="C4" s="15" t="str">
        <x:v>Verified</x:v>
      </x:c>
      <x:c r="D4" s="15" t="str">
        <x:v>Lower concern</x:v>
      </x:c>
      <x:c r="E4" s="15" t="str">
        <x:v>Appears in project RBI DLA directory sample.</x:v>
      </x:c>
      <x:c r="F4" s="15" t="str">
        <x:v>https://data.rbi.org.in/</x:v>
      </x:c>
    </x:row>
    <x:row r="5">
      <x:c r="A5" s="15" t="n">
        <x:v>4</x:v>
      </x:c>
      <x:c r="B5" s="15" t="str">
        <x:v>QuickRupee</x:v>
      </x:c>
      <x:c r="C5" s="15" t="str">
        <x:v>Risky</x:v>
      </x:c>
      <x:c r="D5" s="15" t="str">
        <x:v>Higher concern</x:v>
      </x:c>
      <x:c r="E5" s="15" t="str">
        <x:v>RBI enforcement evidence seed in project dataset.</x:v>
      </x:c>
      <x:c r="F5" s="15" t="str">
        <x:v>https://www.rbi.org.in/scripts/FS_PressRelease.aspx?prid=57801</x:v>
      </x:c>
    </x:row>
    <x:row r="6">
      <x:c r="A6" s="15" t="n">
        <x:v>5</x:v>
      </x:c>
      <x:c r="B6" s="15" t="str">
        <x:v>iMobile (Android)</x:v>
      </x:c>
      <x:c r="C6" s="15" t="str">
        <x:v>Verified</x:v>
      </x:c>
      <x:c r="D6" s="15" t="str">
        <x:v>Lower concern</x:v>
      </x:c>
      <x:c r="E6" s="15" t="str">
        <x:v>Appears in project RBI DLA directory sample.</x:v>
      </x:c>
      <x:c r="F6" s="15" t="str">
        <x:v>https://data.rbi.org.in/</x:v>
      </x:c>
    </x:row>
    <x:row r="7">
      <x:c r="A7" s="15" t="n">
        <x:v>6</x:v>
      </x:c>
      <x:c r="B7" s="15" t="str">
        <x:v>CreditEasy</x:v>
      </x:c>
      <x:c r="C7" s="15" t="str">
        <x:v>Risky</x:v>
      </x:c>
      <x:c r="D7" s="15" t="str">
        <x:v>Higher concern</x:v>
      </x:c>
      <x:c r="E7" s="15" t="str">
        <x:v>RBI enforcement evidence seed in project dataset.</x:v>
      </x:c>
      <x:c r="F7" s="15" t="str">
        <x:v>https://www.rbi.org.in/scripts/FS_PressRelease.aspx?prid=57801</x:v>
      </x:c>
    </x:row>
    <x:row r="8">
      <x:c r="A8" s="15" t="n">
        <x:v>7</x:v>
      </x:c>
      <x:c r="B8" s="15" t="str">
        <x:v>LoanVanta</x:v>
      </x:c>
      <x:c r="C8" s="15" t="str">
        <x:v>Verified</x:v>
      </x:c>
      <x:c r="D8" s="15" t="str">
        <x:v>Lower concern</x:v>
      </x:c>
      <x:c r="E8" s="15" t="str">
        <x:v>Appears in project RBI DLA directory sample.</x:v>
      </x:c>
      <x:c r="F8" s="15" t="str">
        <x:v>https://data.rbi.org.in/</x:v>
      </x:c>
    </x:row>
    <x:row r="9">
      <x:c r="A9" s="15" t="n">
        <x:v>8</x:v>
      </x:c>
      <x:c r="B9" s="15" t="str">
        <x:v>CashYes</x:v>
      </x:c>
      <x:c r="C9" s="15" t="str">
        <x:v>Risky</x:v>
      </x:c>
      <x:c r="D9" s="15" t="str">
        <x:v>Higher concern</x:v>
      </x:c>
      <x:c r="E9" s="15" t="str">
        <x:v>RBI enforcement evidence seed in project dataset.</x:v>
      </x:c>
      <x:c r="F9" s="15" t="str">
        <x:v>https://www.rbi.org.in/scripts/FS_PressRelease.aspx?prid=57801</x:v>
      </x:c>
    </x:row>
    <x:row r="10">
      <x:c r="A10" s="15" t="n">
        <x:v>9</x:v>
      </x:c>
      <x:c r="B10" s="15" t="str">
        <x:v>Kissht</x:v>
      </x:c>
      <x:c r="C10" s="15" t="str">
        <x:v>Verified</x:v>
      </x:c>
      <x:c r="D10" s="15" t="str">
        <x:v>Lower concern</x:v>
      </x:c>
      <x:c r="E10" s="15" t="str">
        <x:v>Appears in project RBI DLA directory sample.</x:v>
      </x:c>
      <x:c r="F10" s="15" t="str">
        <x:v>https://data.rbi.org.in/</x:v>
      </x:c>
    </x:row>
    <x:row r="11">
      <x:c r="A11" s="15" t="n">
        <x:v>10</x:v>
      </x:c>
      <x:c r="B11" s="15" t="str">
        <x:v>QuickCash</x:v>
      </x:c>
      <x:c r="C11" s="15" t="str">
        <x:v>Risky</x:v>
      </x:c>
      <x:c r="D11" s="15" t="str">
        <x:v>Higher concern</x:v>
      </x:c>
      <x:c r="E11" s="15" t="str">
        <x:v>RBI enforcement evidence seed in project dataset.</x:v>
      </x:c>
      <x:c r="F11" s="15" t="str">
        <x:v>https://www.rbi.org.in/scripts/FS_PressRelease.aspx?prid=57801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18" hidden="0" customWidth="1"/>
    <x:col min="5" max="5" width="46" hidden="0" customWidth="1"/>
    <x:col min="6" max="6" width="60" hidden="0" customWidth="1"/>
  </x:cols>
  <x:sheetData>
    <x:row r="1">
      <x:c r="A1" s="22" t="str">
        <x:v>Q#</x:v>
      </x:c>
      <x:c r="B1" s="22" t="str">
        <x:v>App / Item</x:v>
      </x:c>
      <x:c r="C1" s="22" t="str">
        <x:v>Project label</x:v>
      </x:c>
      <x:c r="D1" s="22" t="str">
        <x:v>Pilot answer</x:v>
      </x:c>
      <x:c r="E1" s="22" t="str">
        <x:v>Evidence / source note</x:v>
      </x:c>
      <x:c r="F1" s="22" t="str">
        <x:v>Source URL</x:v>
      </x:c>
    </x:row>
    <x:row r="2">
      <x:c r="A2" s="15" t="n">
        <x:v>1</x:v>
      </x:c>
      <x:c r="B2" s="15" t="str">
        <x:v>BankSathi</x:v>
      </x:c>
      <x:c r="C2" s="15" t="str">
        <x:v>Verified</x:v>
      </x:c>
      <x:c r="D2" s="15" t="str">
        <x:v>Lower concern</x:v>
      </x:c>
      <x:c r="E2" s="15" t="str">
        <x:v>Appears in project RBI DLA directory sample.</x:v>
      </x:c>
      <x:c r="F2" s="15" t="str">
        <x:v>https://data.rbi.org.in/</x:v>
      </x:c>
    </x:row>
    <x:row r="3">
      <x:c r="A3" s="15" t="n">
        <x:v>2</x:v>
      </x:c>
      <x:c r="B3" s="15" t="str">
        <x:v>AgMoney</x:v>
      </x:c>
      <x:c r="C3" s="15" t="str">
        <x:v>Risky</x:v>
      </x:c>
      <x:c r="D3" s="15" t="str">
        <x:v>Higher concern</x:v>
      </x:c>
      <x:c r="E3" s="15" t="str">
        <x:v>RBI enforcement evidence seed in project dataset.</x:v>
      </x:c>
      <x:c r="F3" s="15" t="str">
        <x:v>https://www.rbi.org.in/scripts/FS_PressRelease.aspx?prid=57801</x:v>
      </x:c>
    </x:row>
    <x:row r="4">
      <x:c r="A4" s="15" t="n">
        <x:v>3</x:v>
      </x:c>
      <x:c r="B4" s="15" t="str">
        <x:v>SN Insta Personal Advance Loan</x:v>
      </x:c>
      <x:c r="C4" s="15" t="str">
        <x:v>Verified</x:v>
      </x:c>
      <x:c r="D4" s="15" t="str">
        <x:v>Lower concern</x:v>
      </x:c>
      <x:c r="E4" s="15" t="str">
        <x:v>Appears in project RBI DLA directory sample.</x:v>
      </x:c>
      <x:c r="F4" s="15" t="str">
        <x:v>https://data.rbi.org.in/</x:v>
      </x:c>
    </x:row>
    <x:row r="5">
      <x:c r="A5" s="15" t="n">
        <x:v>4</x:v>
      </x:c>
      <x:c r="B5" s="15" t="str">
        <x:v>NiceCash</x:v>
      </x:c>
      <x:c r="C5" s="15" t="str">
        <x:v>Risky</x:v>
      </x:c>
      <x:c r="D5" s="15" t="str">
        <x:v>Higher concern</x:v>
      </x:c>
      <x:c r="E5" s="15" t="str">
        <x:v>RBI enforcement evidence seed in project dataset.</x:v>
      </x:c>
      <x:c r="F5" s="15" t="str">
        <x:v>https://www.rbi.org.in/scripts/FS_PressRelease.aspx?prid=57801</x:v>
      </x:c>
    </x:row>
    <x:row r="6">
      <x:c r="A6" s="15" t="n">
        <x:v>5</x:v>
      </x:c>
      <x:c r="B6" s="15" t="str">
        <x:v>Petticash</x:v>
      </x:c>
      <x:c r="C6" s="15" t="str">
        <x:v>Verified</x:v>
      </x:c>
      <x:c r="D6" s="15" t="str">
        <x:v>Lower concern</x:v>
      </x:c>
      <x:c r="E6" s="15" t="str">
        <x:v>Appears in project RBI DLA directory sample.</x:v>
      </x:c>
      <x:c r="F6" s="15" t="str">
        <x:v>https://data.rbi.org.in/</x:v>
      </x:c>
    </x:row>
    <x:row r="7">
      <x:c r="A7" s="15" t="n">
        <x:v>6</x:v>
      </x:c>
      <x:c r="B7" s="15" t="str">
        <x:v>TopCash</x:v>
      </x:c>
      <x:c r="C7" s="15" t="str">
        <x:v>Risky</x:v>
      </x:c>
      <x:c r="D7" s="15" t="str">
        <x:v>Higher concern</x:v>
      </x:c>
      <x:c r="E7" s="15" t="str">
        <x:v>RBI enforcement evidence seed in project dataset.</x:v>
      </x:c>
      <x:c r="F7" s="15" t="str">
        <x:v>https://www.rbi.org.in/scripts/FS_PressRelease.aspx?prid=57801</x:v>
      </x:c>
    </x:row>
    <x:row r="8">
      <x:c r="A8" s="15" t="n">
        <x:v>7</x:v>
      </x:c>
      <x:c r="B8" s="15" t="str">
        <x:v>Oolka</x:v>
      </x:c>
      <x:c r="C8" s="15" t="str">
        <x:v>Verified</x:v>
      </x:c>
      <x:c r="D8" s="15" t="str">
        <x:v>Lower concern</x:v>
      </x:c>
      <x:c r="E8" s="15" t="str">
        <x:v>Appears in project RBI DLA directory sample.</x:v>
      </x:c>
      <x:c r="F8" s="15" t="str">
        <x:v>https://data.rbi.org.in/</x:v>
      </x:c>
    </x:row>
    <x:row r="9">
      <x:c r="A9" s="15" t="n">
        <x:v>8</x:v>
      </x:c>
      <x:c r="B9" s="15" t="str">
        <x:v>Urupee</x:v>
      </x:c>
      <x:c r="C9" s="15" t="str">
        <x:v>Risky</x:v>
      </x:c>
      <x:c r="D9" s="15" t="str">
        <x:v>Higher concern</x:v>
      </x:c>
      <x:c r="E9" s="15" t="str">
        <x:v>RBI enforcement evidence seed in project dataset.</x:v>
      </x:c>
      <x:c r="F9" s="15" t="str">
        <x:v>https://www.rbi.org.in/scripts/FS_PressRelease.aspx?prid=57801</x:v>
      </x:c>
    </x:row>
    <x:row r="10">
      <x:c r="A10" s="15" t="n">
        <x:v>9</x:v>
      </x:c>
      <x:c r="B10" s="15" t="str">
        <x:v>Money Monk App</x:v>
      </x:c>
      <x:c r="C10" s="15" t="str">
        <x:v>Verified</x:v>
      </x:c>
      <x:c r="D10" s="15" t="str">
        <x:v>Lower concern</x:v>
      </x:c>
      <x:c r="E10" s="15" t="str">
        <x:v>Appears in project RBI DLA directory sample.</x:v>
      </x:c>
      <x:c r="F10" s="15" t="str">
        <x:v>https://data.rbi.org.in/</x:v>
      </x:c>
    </x:row>
    <x:row r="11">
      <x:c r="A11" s="15" t="n">
        <x:v>10</x:v>
      </x:c>
      <x:c r="B11" s="15" t="str">
        <x:v>Cash Dove</x:v>
      </x:c>
      <x:c r="C11" s="15" t="str">
        <x:v>Risky</x:v>
      </x:c>
      <x:c r="D11" s="15" t="str">
        <x:v>Higher concern</x:v>
      </x:c>
      <x:c r="E11" s="15" t="str">
        <x:v>RBI enforcement evidence seed in project dataset.</x:v>
      </x:c>
      <x:c r="F11" s="15" t="str">
        <x:v>https://www.rbi.org.in/scripts/FS_PressRelease.aspx?prid=57801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  <x:col min="14" max="14" width="14" hidden="0" customWidth="1"/>
    <x:col min="15" max="15" width="14" hidden="0" customWidth="1"/>
    <x:col min="16" max="16" width="17" hidden="0" customWidth="1"/>
    <x:col min="17" max="17" width="1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7" hidden="0" customWidth="1"/>
    <x:col min="29" max="29" width="14" hidden="0" customWidth="1"/>
    <x:col min="30" max="30" width="14" hidden="0" customWidth="1"/>
    <x:col min="31" max="31" width="17" hidden="0" customWidth="1"/>
    <x:col min="32" max="32" width="16" hidden="0" customWidth="1"/>
    <x:col min="33" max="33" width="16" hidden="0" customWidth="1"/>
    <x:col min="34" max="34" width="14" hidden="0" customWidth="1"/>
    <x:col min="35" max="35" width="14" hidden="0" customWidth="1"/>
    <x:col min="36" max="36" width="14" hidden="0" customWidth="1"/>
    <x:col min="37" max="37" width="30" hidden="0" customWidth="1"/>
  </x:cols>
  <x:sheetData>
    <x:row r="1">
      <x:c r="A1" s="26" t="str">
        <x:v>Participant ID</x:v>
      </x:c>
      <x:c r="B1" s="26" t="str">
        <x:v>Consent</x:v>
      </x:c>
      <x:c r="C1" s="26" t="str">
        <x:v>Pre Q1</x:v>
      </x:c>
      <x:c r="D1" s="26" t="str">
        <x:v>Pre Q2</x:v>
      </x:c>
      <x:c r="E1" s="26" t="str">
        <x:v>Pre Q3</x:v>
      </x:c>
      <x:c r="F1" s="26" t="str">
        <x:v>Pre Q4</x:v>
      </x:c>
      <x:c r="G1" s="26" t="str">
        <x:v>Pre Q5</x:v>
      </x:c>
      <x:c r="H1" s="26" t="str">
        <x:v>Pre Q6</x:v>
      </x:c>
      <x:c r="I1" s="26" t="str">
        <x:v>Pre Q7</x:v>
      </x:c>
      <x:c r="J1" s="26" t="str">
        <x:v>Pre Q8</x:v>
      </x:c>
      <x:c r="K1" s="26" t="str">
        <x:v>Pre Q9</x:v>
      </x:c>
      <x:c r="L1" s="26" t="str">
        <x:v>Pre Q10</x:v>
      </x:c>
      <x:c r="M1" s="26" t="str">
        <x:v>Pre Risk Correct /10</x:v>
      </x:c>
      <x:c r="N1" s="26" t="str">
        <x:v>Pre Cost 1 Est.</x:v>
      </x:c>
      <x:c r="O1" s="26" t="str">
        <x:v>Pre Cost 2 Est.</x:v>
      </x:c>
      <x:c r="P1" s="26" t="str">
        <x:v>Pre Cost Correct /2</x:v>
      </x:c>
      <x:c r="Q1" s="26" t="str">
        <x:v>Pre Confidence 1–5</x:v>
      </x:c>
      <x:c r="R1" s="26" t="str">
        <x:v>Post Q1</x:v>
      </x:c>
      <x:c r="S1" s="26" t="str">
        <x:v>Post Q2</x:v>
      </x:c>
      <x:c r="T1" s="26" t="str">
        <x:v>Post Q3</x:v>
      </x:c>
      <x:c r="U1" s="26" t="str">
        <x:v>Post Q4</x:v>
      </x:c>
      <x:c r="V1" s="26" t="str">
        <x:v>Post Q5</x:v>
      </x:c>
      <x:c r="W1" s="26" t="str">
        <x:v>Post Q6</x:v>
      </x:c>
      <x:c r="X1" s="26" t="str">
        <x:v>Post Q7</x:v>
      </x:c>
      <x:c r="Y1" s="26" t="str">
        <x:v>Post Q8</x:v>
      </x:c>
      <x:c r="Z1" s="26" t="str">
        <x:v>Post Q9</x:v>
      </x:c>
      <x:c r="AA1" s="26" t="str">
        <x:v>Post Q10</x:v>
      </x:c>
      <x:c r="AB1" s="26" t="str">
        <x:v>Post Risk Correct /10</x:v>
      </x:c>
      <x:c r="AC1" s="26" t="str">
        <x:v>Post Cost 1 Est.</x:v>
      </x:c>
      <x:c r="AD1" s="26" t="str">
        <x:v>Post Cost 2 Est.</x:v>
      </x:c>
      <x:c r="AE1" s="26" t="str">
        <x:v>Post Cost Correct /2</x:v>
      </x:c>
      <x:c r="AF1" s="26" t="str">
        <x:v>Post Confidence 1–5</x:v>
      </x:c>
      <x:c r="AG1" s="26" t="str">
        <x:v>Usability 1–5</x:v>
      </x:c>
      <x:c r="AH1" s="26" t="str">
        <x:v>Risk Accuracy Δ</x:v>
      </x:c>
      <x:c r="AI1" s="26" t="str">
        <x:v>Cost Accuracy Δ</x:v>
      </x:c>
      <x:c r="AJ1" s="26" t="str">
        <x:v>Confidence Δ</x:v>
      </x:c>
      <x:c r="AK1" s="26" t="str">
        <x:v>Notes</x:v>
      </x:c>
    </x:row>
    <x:row r="2">
      <x:c r="A2" s="15" t="str">
        <x:v>P01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 t="str">
        <x:f>IF(COUNTA(C2:L2)=0,"",(IF(C2='Pre Test Key'!$D$2,1,0)+IF(D2='Pre Test Key'!$D$3,1,0)+IF(E2='Pre Test Key'!$D$4,1,0)+IF(F2='Pre Test Key'!$D$5,1,0)+IF(G2='Pre Test Key'!$D$6,1,0)+IF(H2='Pre Test Key'!$D$7,1,0)+IF(I2='Pre Test Key'!$D$8,1,0)+IF(J2='Pre Test Key'!$D$9,1,0)+IF(K2='Pre Test Key'!$D$10,1,0)+IF(L2='Pre Test Key'!$D$11,1,0)))</x:f>
      </x:c>
      <x:c r="N2" s="15"/>
      <x:c r="O2" s="15"/>
      <x:c r="P2" s="15" t="str">
        <x:f>IF(AND(N2="",O2=""),"",IF(ABS(N2-11400)&lt;=570,1,0)+IF(ABS(O2-22800)&lt;=1140,1,0))</x:f>
      </x:c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 t="str">
        <x:f>IF(COUNTA(R2:AA2)=0,"",(IF(R2='Post Test Key'!$D$2,1,0)+IF(S2='Post Test Key'!$D$3,1,0)+IF(T2='Post Test Key'!$D$4,1,0)+IF(U2='Post Test Key'!$D$5,1,0)+IF(V2='Post Test Key'!$D$6,1,0)+IF(W2='Post Test Key'!$D$7,1,0)+IF(X2='Post Test Key'!$D$8,1,0)+IF(Y2='Post Test Key'!$D$9,1,0)+IF(Z2='Post Test Key'!$D$10,1,0)+IF(AA2='Post Test Key'!$D$11,1,0)))</x:f>
      </x:c>
      <x:c r="AC2" s="15"/>
      <x:c r="AD2" s="15"/>
      <x:c r="AE2" s="15" t="str">
        <x:f>IF(AND(AC2="",AD2=""),"",IF(ABS(AC2-17400)&lt;=870,1,0)+IF(ABS(AD2-28800)&lt;=1440,1,0))</x:f>
      </x:c>
      <x:c r="AF2" s="15"/>
      <x:c r="AG2" s="15"/>
      <x:c r="AH2" s="15" t="str">
        <x:f>IF(OR(M2="",AB2=""),"",AB2-M2)</x:f>
      </x:c>
      <x:c r="AI2" s="15" t="str">
        <x:f>IF(OR(P2="",AE2=""),"",AE2-P2)</x:f>
      </x:c>
      <x:c r="AJ2" s="15" t="str">
        <x:f>IF(OR(Q2="",AF2=""),"",AF2-Q2)</x:f>
      </x:c>
      <x:c r="AK2" s="15"/>
    </x:row>
    <x:row r="3">
      <x:c r="A3" s="15" t="str">
        <x:v>P02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 t="str">
        <x:f>IF(COUNTA(C3:L3)=0,"",(IF(C3='Pre Test Key'!$D$2,1,0)+IF(D3='Pre Test Key'!$D$3,1,0)+IF(E3='Pre Test Key'!$D$4,1,0)+IF(F3='Pre Test Key'!$D$5,1,0)+IF(G3='Pre Test Key'!$D$6,1,0)+IF(H3='Pre Test Key'!$D$7,1,0)+IF(I3='Pre Test Key'!$D$8,1,0)+IF(J3='Pre Test Key'!$D$9,1,0)+IF(K3='Pre Test Key'!$D$10,1,0)+IF(L3='Pre Test Key'!$D$11,1,0)))</x:f>
      </x:c>
      <x:c r="N3" s="15"/>
      <x:c r="O3" s="15"/>
      <x:c r="P3" s="15" t="str">
        <x:f>IF(AND(N3="",O3=""),"",IF(ABS(N3-11400)&lt;=570,1,0)+IF(ABS(O3-22800)&lt;=1140,1,0))</x:f>
      </x:c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 t="str">
        <x:f>IF(COUNTA(R3:AA3)=0,"",(IF(R3='Post Test Key'!$D$2,1,0)+IF(S3='Post Test Key'!$D$3,1,0)+IF(T3='Post Test Key'!$D$4,1,0)+IF(U3='Post Test Key'!$D$5,1,0)+IF(V3='Post Test Key'!$D$6,1,0)+IF(W3='Post Test Key'!$D$7,1,0)+IF(X3='Post Test Key'!$D$8,1,0)+IF(Y3='Post Test Key'!$D$9,1,0)+IF(Z3='Post Test Key'!$D$10,1,0)+IF(AA3='Post Test Key'!$D$11,1,0)))</x:f>
      </x:c>
      <x:c r="AC3" s="15"/>
      <x:c r="AD3" s="15"/>
      <x:c r="AE3" s="15" t="str">
        <x:f>IF(AND(AC3="",AD3=""),"",IF(ABS(AC3-17400)&lt;=870,1,0)+IF(ABS(AD3-28800)&lt;=1440,1,0))</x:f>
      </x:c>
      <x:c r="AF3" s="15"/>
      <x:c r="AG3" s="15"/>
      <x:c r="AH3" s="15" t="str">
        <x:f>IF(OR(M3="",AB3=""),"",AB3-M3)</x:f>
      </x:c>
      <x:c r="AI3" s="15" t="str">
        <x:f>IF(OR(P3="",AE3=""),"",AE3-P3)</x:f>
      </x:c>
      <x:c r="AJ3" s="15" t="str">
        <x:f>IF(OR(Q3="",AF3=""),"",AF3-Q3)</x:f>
      </x:c>
      <x:c r="AK3" s="15"/>
    </x:row>
    <x:row r="4">
      <x:c r="A4" s="15" t="str">
        <x:v>P03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 t="str">
        <x:f>IF(COUNTA(C4:L4)=0,"",(IF(C4='Pre Test Key'!$D$2,1,0)+IF(D4='Pre Test Key'!$D$3,1,0)+IF(E4='Pre Test Key'!$D$4,1,0)+IF(F4='Pre Test Key'!$D$5,1,0)+IF(G4='Pre Test Key'!$D$6,1,0)+IF(H4='Pre Test Key'!$D$7,1,0)+IF(I4='Pre Test Key'!$D$8,1,0)+IF(J4='Pre Test Key'!$D$9,1,0)+IF(K4='Pre Test Key'!$D$10,1,0)+IF(L4='Pre Test Key'!$D$11,1,0)))</x:f>
      </x:c>
      <x:c r="N4" s="15"/>
      <x:c r="O4" s="15"/>
      <x:c r="P4" s="15" t="str">
        <x:f>IF(AND(N4="",O4=""),"",IF(ABS(N4-11400)&lt;=570,1,0)+IF(ABS(O4-22800)&lt;=1140,1,0))</x:f>
      </x:c>
      <x:c r="Q4" s="15"/>
      <x:c r="R4" s="15"/>
      <x:c r="S4" s="15"/>
      <x:c r="T4" s="15"/>
      <x:c r="U4" s="15"/>
      <x:c r="V4" s="15"/>
      <x:c r="W4" s="15"/>
      <x:c r="X4" s="15"/>
      <x:c r="Y4" s="15"/>
      <x:c r="Z4" s="15"/>
      <x:c r="AA4" s="15"/>
      <x:c r="AB4" s="15" t="str">
        <x:f>IF(COUNTA(R4:AA4)=0,"",(IF(R4='Post Test Key'!$D$2,1,0)+IF(S4='Post Test Key'!$D$3,1,0)+IF(T4='Post Test Key'!$D$4,1,0)+IF(U4='Post Test Key'!$D$5,1,0)+IF(V4='Post Test Key'!$D$6,1,0)+IF(W4='Post Test Key'!$D$7,1,0)+IF(X4='Post Test Key'!$D$8,1,0)+IF(Y4='Post Test Key'!$D$9,1,0)+IF(Z4='Post Test Key'!$D$10,1,0)+IF(AA4='Post Test Key'!$D$11,1,0)))</x:f>
      </x:c>
      <x:c r="AC4" s="15"/>
      <x:c r="AD4" s="15"/>
      <x:c r="AE4" s="15" t="str">
        <x:f>IF(AND(AC4="",AD4=""),"",IF(ABS(AC4-17400)&lt;=870,1,0)+IF(ABS(AD4-28800)&lt;=1440,1,0))</x:f>
      </x:c>
      <x:c r="AF4" s="15"/>
      <x:c r="AG4" s="15"/>
      <x:c r="AH4" s="15" t="str">
        <x:f>IF(OR(M4="",AB4=""),"",AB4-M4)</x:f>
      </x:c>
      <x:c r="AI4" s="15" t="str">
        <x:f>IF(OR(P4="",AE4=""),"",AE4-P4)</x:f>
      </x:c>
      <x:c r="AJ4" s="15" t="str">
        <x:f>IF(OR(Q4="",AF4=""),"",AF4-Q4)</x:f>
      </x:c>
      <x:c r="AK4" s="15"/>
    </x:row>
    <x:row r="5">
      <x:c r="A5" s="15" t="str">
        <x:v>P04</x:v>
      </x:c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 t="str">
        <x:f>IF(COUNTA(C5:L5)=0,"",(IF(C5='Pre Test Key'!$D$2,1,0)+IF(D5='Pre Test Key'!$D$3,1,0)+IF(E5='Pre Test Key'!$D$4,1,0)+IF(F5='Pre Test Key'!$D$5,1,0)+IF(G5='Pre Test Key'!$D$6,1,0)+IF(H5='Pre Test Key'!$D$7,1,0)+IF(I5='Pre Test Key'!$D$8,1,0)+IF(J5='Pre Test Key'!$D$9,1,0)+IF(K5='Pre Test Key'!$D$10,1,0)+IF(L5='Pre Test Key'!$D$11,1,0)))</x:f>
      </x:c>
      <x:c r="N5" s="15"/>
      <x:c r="O5" s="15"/>
      <x:c r="P5" s="15" t="str">
        <x:f>IF(AND(N5="",O5=""),"",IF(ABS(N5-11400)&lt;=570,1,0)+IF(ABS(O5-22800)&lt;=1140,1,0))</x:f>
      </x:c>
      <x:c r="Q5" s="15"/>
      <x:c r="R5" s="15"/>
      <x:c r="S5" s="15"/>
      <x:c r="T5" s="15"/>
      <x:c r="U5" s="15"/>
      <x:c r="V5" s="15"/>
      <x:c r="W5" s="15"/>
      <x:c r="X5" s="15"/>
      <x:c r="Y5" s="15"/>
      <x:c r="Z5" s="15"/>
      <x:c r="AA5" s="15"/>
      <x:c r="AB5" s="15" t="str">
        <x:f>IF(COUNTA(R5:AA5)=0,"",(IF(R5='Post Test Key'!$D$2,1,0)+IF(S5='Post Test Key'!$D$3,1,0)+IF(T5='Post Test Key'!$D$4,1,0)+IF(U5='Post Test Key'!$D$5,1,0)+IF(V5='Post Test Key'!$D$6,1,0)+IF(W5='Post Test Key'!$D$7,1,0)+IF(X5='Post Test Key'!$D$8,1,0)+IF(Y5='Post Test Key'!$D$9,1,0)+IF(Z5='Post Test Key'!$D$10,1,0)+IF(AA5='Post Test Key'!$D$11,1,0)))</x:f>
      </x:c>
      <x:c r="AC5" s="15"/>
      <x:c r="AD5" s="15"/>
      <x:c r="AE5" s="15" t="str">
        <x:f>IF(AND(AC5="",AD5=""),"",IF(ABS(AC5-17400)&lt;=870,1,0)+IF(ABS(AD5-28800)&lt;=1440,1,0))</x:f>
      </x:c>
      <x:c r="AF5" s="15"/>
      <x:c r="AG5" s="15"/>
      <x:c r="AH5" s="15" t="str">
        <x:f>IF(OR(M5="",AB5=""),"",AB5-M5)</x:f>
      </x:c>
      <x:c r="AI5" s="15" t="str">
        <x:f>IF(OR(P5="",AE5=""),"",AE5-P5)</x:f>
      </x:c>
      <x:c r="AJ5" s="15" t="str">
        <x:f>IF(OR(Q5="",AF5=""),"",AF5-Q5)</x:f>
      </x:c>
      <x:c r="AK5" s="15"/>
    </x:row>
    <x:row r="6">
      <x:c r="A6" s="15" t="str">
        <x:v>P05</x:v>
      </x:c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 t="str">
        <x:f>IF(COUNTA(C6:L6)=0,"",(IF(C6='Pre Test Key'!$D$2,1,0)+IF(D6='Pre Test Key'!$D$3,1,0)+IF(E6='Pre Test Key'!$D$4,1,0)+IF(F6='Pre Test Key'!$D$5,1,0)+IF(G6='Pre Test Key'!$D$6,1,0)+IF(H6='Pre Test Key'!$D$7,1,0)+IF(I6='Pre Test Key'!$D$8,1,0)+IF(J6='Pre Test Key'!$D$9,1,0)+IF(K6='Pre Test Key'!$D$10,1,0)+IF(L6='Pre Test Key'!$D$11,1,0)))</x:f>
      </x:c>
      <x:c r="N6" s="15"/>
      <x:c r="O6" s="15"/>
      <x:c r="P6" s="15" t="str">
        <x:f>IF(AND(N6="",O6=""),"",IF(ABS(N6-11400)&lt;=570,1,0)+IF(ABS(O6-22800)&lt;=1140,1,0))</x:f>
      </x:c>
      <x:c r="Q6" s="15"/>
      <x:c r="R6" s="15"/>
      <x:c r="S6" s="15"/>
      <x:c r="T6" s="15"/>
      <x:c r="U6" s="15"/>
      <x:c r="V6" s="15"/>
      <x:c r="W6" s="15"/>
      <x:c r="X6" s="15"/>
      <x:c r="Y6" s="15"/>
      <x:c r="Z6" s="15"/>
      <x:c r="AA6" s="15"/>
      <x:c r="AB6" s="15" t="str">
        <x:f>IF(COUNTA(R6:AA6)=0,"",(IF(R6='Post Test Key'!$D$2,1,0)+IF(S6='Post Test Key'!$D$3,1,0)+IF(T6='Post Test Key'!$D$4,1,0)+IF(U6='Post Test Key'!$D$5,1,0)+IF(V6='Post Test Key'!$D$6,1,0)+IF(W6='Post Test Key'!$D$7,1,0)+IF(X6='Post Test Key'!$D$8,1,0)+IF(Y6='Post Test Key'!$D$9,1,0)+IF(Z6='Post Test Key'!$D$10,1,0)+IF(AA6='Post Test Key'!$D$11,1,0)))</x:f>
      </x:c>
      <x:c r="AC6" s="15"/>
      <x:c r="AD6" s="15"/>
      <x:c r="AE6" s="15" t="str">
        <x:f>IF(AND(AC6="",AD6=""),"",IF(ABS(AC6-17400)&lt;=870,1,0)+IF(ABS(AD6-28800)&lt;=1440,1,0))</x:f>
      </x:c>
      <x:c r="AF6" s="15"/>
      <x:c r="AG6" s="15"/>
      <x:c r="AH6" s="15" t="str">
        <x:f>IF(OR(M6="",AB6=""),"",AB6-M6)</x:f>
      </x:c>
      <x:c r="AI6" s="15" t="str">
        <x:f>IF(OR(P6="",AE6=""),"",AE6-P6)</x:f>
      </x:c>
      <x:c r="AJ6" s="15" t="str">
        <x:f>IF(OR(Q6="",AF6=""),"",AF6-Q6)</x:f>
      </x:c>
      <x:c r="AK6" s="15"/>
    </x:row>
    <x:row r="7">
      <x:c r="A7" s="15" t="str">
        <x:v>P06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 t="str">
        <x:f>IF(COUNTA(C7:L7)=0,"",(IF(C7='Pre Test Key'!$D$2,1,0)+IF(D7='Pre Test Key'!$D$3,1,0)+IF(E7='Pre Test Key'!$D$4,1,0)+IF(F7='Pre Test Key'!$D$5,1,0)+IF(G7='Pre Test Key'!$D$6,1,0)+IF(H7='Pre Test Key'!$D$7,1,0)+IF(I7='Pre Test Key'!$D$8,1,0)+IF(J7='Pre Test Key'!$D$9,1,0)+IF(K7='Pre Test Key'!$D$10,1,0)+IF(L7='Pre Test Key'!$D$11,1,0)))</x:f>
      </x:c>
      <x:c r="N7" s="15"/>
      <x:c r="O7" s="15"/>
      <x:c r="P7" s="15" t="str">
        <x:f>IF(AND(N7="",O7=""),"",IF(ABS(N7-11400)&lt;=570,1,0)+IF(ABS(O7-22800)&lt;=1140,1,0))</x:f>
      </x:c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 t="str">
        <x:f>IF(COUNTA(R7:AA7)=0,"",(IF(R7='Post Test Key'!$D$2,1,0)+IF(S7='Post Test Key'!$D$3,1,0)+IF(T7='Post Test Key'!$D$4,1,0)+IF(U7='Post Test Key'!$D$5,1,0)+IF(V7='Post Test Key'!$D$6,1,0)+IF(W7='Post Test Key'!$D$7,1,0)+IF(X7='Post Test Key'!$D$8,1,0)+IF(Y7='Post Test Key'!$D$9,1,0)+IF(Z7='Post Test Key'!$D$10,1,0)+IF(AA7='Post Test Key'!$D$11,1,0)))</x:f>
      </x:c>
      <x:c r="AC7" s="15"/>
      <x:c r="AD7" s="15"/>
      <x:c r="AE7" s="15" t="str">
        <x:f>IF(AND(AC7="",AD7=""),"",IF(ABS(AC7-17400)&lt;=870,1,0)+IF(ABS(AD7-28800)&lt;=1440,1,0))</x:f>
      </x:c>
      <x:c r="AF7" s="15"/>
      <x:c r="AG7" s="15"/>
      <x:c r="AH7" s="15" t="str">
        <x:f>IF(OR(M7="",AB7=""),"",AB7-M7)</x:f>
      </x:c>
      <x:c r="AI7" s="15" t="str">
        <x:f>IF(OR(P7="",AE7=""),"",AE7-P7)</x:f>
      </x:c>
      <x:c r="AJ7" s="15" t="str">
        <x:f>IF(OR(Q7="",AF7=""),"",AF7-Q7)</x:f>
      </x:c>
      <x:c r="AK7" s="15"/>
    </x:row>
    <x:row r="8">
      <x:c r="A8" s="15" t="str">
        <x:v>P07</x:v>
      </x:c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 t="str">
        <x:f>IF(COUNTA(C8:L8)=0,"",(IF(C8='Pre Test Key'!$D$2,1,0)+IF(D8='Pre Test Key'!$D$3,1,0)+IF(E8='Pre Test Key'!$D$4,1,0)+IF(F8='Pre Test Key'!$D$5,1,0)+IF(G8='Pre Test Key'!$D$6,1,0)+IF(H8='Pre Test Key'!$D$7,1,0)+IF(I8='Pre Test Key'!$D$8,1,0)+IF(J8='Pre Test Key'!$D$9,1,0)+IF(K8='Pre Test Key'!$D$10,1,0)+IF(L8='Pre Test Key'!$D$11,1,0)))</x:f>
      </x:c>
      <x:c r="N8" s="15"/>
      <x:c r="O8" s="15"/>
      <x:c r="P8" s="15" t="str">
        <x:f>IF(AND(N8="",O8=""),"",IF(ABS(N8-11400)&lt;=570,1,0)+IF(ABS(O8-22800)&lt;=1140,1,0))</x:f>
      </x:c>
      <x:c r="Q8" s="15"/>
      <x:c r="R8" s="15"/>
      <x:c r="S8" s="15"/>
      <x:c r="T8" s="15"/>
      <x:c r="U8" s="15"/>
      <x:c r="V8" s="15"/>
      <x:c r="W8" s="15"/>
      <x:c r="X8" s="15"/>
      <x:c r="Y8" s="15"/>
      <x:c r="Z8" s="15"/>
      <x:c r="AA8" s="15"/>
      <x:c r="AB8" s="15" t="str">
        <x:f>IF(COUNTA(R8:AA8)=0,"",(IF(R8='Post Test Key'!$D$2,1,0)+IF(S8='Post Test Key'!$D$3,1,0)+IF(T8='Post Test Key'!$D$4,1,0)+IF(U8='Post Test Key'!$D$5,1,0)+IF(V8='Post Test Key'!$D$6,1,0)+IF(W8='Post Test Key'!$D$7,1,0)+IF(X8='Post Test Key'!$D$8,1,0)+IF(Y8='Post Test Key'!$D$9,1,0)+IF(Z8='Post Test Key'!$D$10,1,0)+IF(AA8='Post Test Key'!$D$11,1,0)))</x:f>
      </x:c>
      <x:c r="AC8" s="15"/>
      <x:c r="AD8" s="15"/>
      <x:c r="AE8" s="15" t="str">
        <x:f>IF(AND(AC8="",AD8=""),"",IF(ABS(AC8-17400)&lt;=870,1,0)+IF(ABS(AD8-28800)&lt;=1440,1,0))</x:f>
      </x:c>
      <x:c r="AF8" s="15"/>
      <x:c r="AG8" s="15"/>
      <x:c r="AH8" s="15" t="str">
        <x:f>IF(OR(M8="",AB8=""),"",AB8-M8)</x:f>
      </x:c>
      <x:c r="AI8" s="15" t="str">
        <x:f>IF(OR(P8="",AE8=""),"",AE8-P8)</x:f>
      </x:c>
      <x:c r="AJ8" s="15" t="str">
        <x:f>IF(OR(Q8="",AF8=""),"",AF8-Q8)</x:f>
      </x:c>
      <x:c r="AK8" s="15"/>
    </x:row>
    <x:row r="9">
      <x:c r="A9" s="15" t="str">
        <x:v>P08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 t="str">
        <x:f>IF(COUNTA(C9:L9)=0,"",(IF(C9='Pre Test Key'!$D$2,1,0)+IF(D9='Pre Test Key'!$D$3,1,0)+IF(E9='Pre Test Key'!$D$4,1,0)+IF(F9='Pre Test Key'!$D$5,1,0)+IF(G9='Pre Test Key'!$D$6,1,0)+IF(H9='Pre Test Key'!$D$7,1,0)+IF(I9='Pre Test Key'!$D$8,1,0)+IF(J9='Pre Test Key'!$D$9,1,0)+IF(K9='Pre Test Key'!$D$10,1,0)+IF(L9='Pre Test Key'!$D$11,1,0)))</x:f>
      </x:c>
      <x:c r="N9" s="15"/>
      <x:c r="O9" s="15"/>
      <x:c r="P9" s="15" t="str">
        <x:f>IF(AND(N9="",O9=""),"",IF(ABS(N9-11400)&lt;=570,1,0)+IF(ABS(O9-22800)&lt;=1140,1,0))</x:f>
      </x:c>
      <x:c r="Q9" s="15"/>
      <x:c r="R9" s="15"/>
      <x:c r="S9" s="15"/>
      <x:c r="T9" s="15"/>
      <x:c r="U9" s="15"/>
      <x:c r="V9" s="15"/>
      <x:c r="W9" s="15"/>
      <x:c r="X9" s="15"/>
      <x:c r="Y9" s="15"/>
      <x:c r="Z9" s="15"/>
      <x:c r="AA9" s="15"/>
      <x:c r="AB9" s="15" t="str">
        <x:f>IF(COUNTA(R9:AA9)=0,"",(IF(R9='Post Test Key'!$D$2,1,0)+IF(S9='Post Test Key'!$D$3,1,0)+IF(T9='Post Test Key'!$D$4,1,0)+IF(U9='Post Test Key'!$D$5,1,0)+IF(V9='Post Test Key'!$D$6,1,0)+IF(W9='Post Test Key'!$D$7,1,0)+IF(X9='Post Test Key'!$D$8,1,0)+IF(Y9='Post Test Key'!$D$9,1,0)+IF(Z9='Post Test Key'!$D$10,1,0)+IF(AA9='Post Test Key'!$D$11,1,0)))</x:f>
      </x:c>
      <x:c r="AC9" s="15"/>
      <x:c r="AD9" s="15"/>
      <x:c r="AE9" s="15" t="str">
        <x:f>IF(AND(AC9="",AD9=""),"",IF(ABS(AC9-17400)&lt;=870,1,0)+IF(ABS(AD9-28800)&lt;=1440,1,0))</x:f>
      </x:c>
      <x:c r="AF9" s="15"/>
      <x:c r="AG9" s="15"/>
      <x:c r="AH9" s="15" t="str">
        <x:f>IF(OR(M9="",AB9=""),"",AB9-M9)</x:f>
      </x:c>
      <x:c r="AI9" s="15" t="str">
        <x:f>IF(OR(P9="",AE9=""),"",AE9-P9)</x:f>
      </x:c>
      <x:c r="AJ9" s="15" t="str">
        <x:f>IF(OR(Q9="",AF9=""),"",AF9-Q9)</x:f>
      </x:c>
      <x:c r="AK9" s="15"/>
    </x:row>
    <x:row r="10">
      <x:c r="A10" s="15" t="str">
        <x:v>P09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 t="str">
        <x:f>IF(COUNTA(C10:L10)=0,"",(IF(C10='Pre Test Key'!$D$2,1,0)+IF(D10='Pre Test Key'!$D$3,1,0)+IF(E10='Pre Test Key'!$D$4,1,0)+IF(F10='Pre Test Key'!$D$5,1,0)+IF(G10='Pre Test Key'!$D$6,1,0)+IF(H10='Pre Test Key'!$D$7,1,0)+IF(I10='Pre Test Key'!$D$8,1,0)+IF(J10='Pre Test Key'!$D$9,1,0)+IF(K10='Pre Test Key'!$D$10,1,0)+IF(L10='Pre Test Key'!$D$11,1,0)))</x:f>
      </x:c>
      <x:c r="N10" s="15"/>
      <x:c r="O10" s="15"/>
      <x:c r="P10" s="15" t="str">
        <x:f>IF(AND(N10="",O10=""),"",IF(ABS(N10-11400)&lt;=570,1,0)+IF(ABS(O10-22800)&lt;=1140,1,0))</x:f>
      </x:c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15" t="str">
        <x:f>IF(COUNTA(R10:AA10)=0,"",(IF(R10='Post Test Key'!$D$2,1,0)+IF(S10='Post Test Key'!$D$3,1,0)+IF(T10='Post Test Key'!$D$4,1,0)+IF(U10='Post Test Key'!$D$5,1,0)+IF(V10='Post Test Key'!$D$6,1,0)+IF(W10='Post Test Key'!$D$7,1,0)+IF(X10='Post Test Key'!$D$8,1,0)+IF(Y10='Post Test Key'!$D$9,1,0)+IF(Z10='Post Test Key'!$D$10,1,0)+IF(AA10='Post Test Key'!$D$11,1,0)))</x:f>
      </x:c>
      <x:c r="AC10" s="15"/>
      <x:c r="AD10" s="15"/>
      <x:c r="AE10" s="15" t="str">
        <x:f>IF(AND(AC10="",AD10=""),"",IF(ABS(AC10-17400)&lt;=870,1,0)+IF(ABS(AD10-28800)&lt;=1440,1,0))</x:f>
      </x:c>
      <x:c r="AF10" s="15"/>
      <x:c r="AG10" s="15"/>
      <x:c r="AH10" s="15" t="str">
        <x:f>IF(OR(M10="",AB10=""),"",AB10-M10)</x:f>
      </x:c>
      <x:c r="AI10" s="15" t="str">
        <x:f>IF(OR(P10="",AE10=""),"",AE10-P10)</x:f>
      </x:c>
      <x:c r="AJ10" s="15" t="str">
        <x:f>IF(OR(Q10="",AF10=""),"",AF10-Q10)</x:f>
      </x:c>
      <x:c r="AK10" s="15"/>
    </x:row>
    <x:row r="11">
      <x:c r="A11" s="15" t="str">
        <x:v>P10</x:v>
      </x:c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 t="str">
        <x:f>IF(COUNTA(C11:L11)=0,"",(IF(C11='Pre Test Key'!$D$2,1,0)+IF(D11='Pre Test Key'!$D$3,1,0)+IF(E11='Pre Test Key'!$D$4,1,0)+IF(F11='Pre Test Key'!$D$5,1,0)+IF(G11='Pre Test Key'!$D$6,1,0)+IF(H11='Pre Test Key'!$D$7,1,0)+IF(I11='Pre Test Key'!$D$8,1,0)+IF(J11='Pre Test Key'!$D$9,1,0)+IF(K11='Pre Test Key'!$D$10,1,0)+IF(L11='Pre Test Key'!$D$11,1,0)))</x:f>
      </x:c>
      <x:c r="N11" s="15"/>
      <x:c r="O11" s="15"/>
      <x:c r="P11" s="15" t="str">
        <x:f>IF(AND(N11="",O11=""),"",IF(ABS(N11-11400)&lt;=570,1,0)+IF(ABS(O11-22800)&lt;=1140,1,0))</x:f>
      </x:c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15" t="str">
        <x:f>IF(COUNTA(R11:AA11)=0,"",(IF(R11='Post Test Key'!$D$2,1,0)+IF(S11='Post Test Key'!$D$3,1,0)+IF(T11='Post Test Key'!$D$4,1,0)+IF(U11='Post Test Key'!$D$5,1,0)+IF(V11='Post Test Key'!$D$6,1,0)+IF(W11='Post Test Key'!$D$7,1,0)+IF(X11='Post Test Key'!$D$8,1,0)+IF(Y11='Post Test Key'!$D$9,1,0)+IF(Z11='Post Test Key'!$D$10,1,0)+IF(AA11='Post Test Key'!$D$11,1,0)))</x:f>
      </x:c>
      <x:c r="AC11" s="15"/>
      <x:c r="AD11" s="15"/>
      <x:c r="AE11" s="15" t="str">
        <x:f>IF(AND(AC11="",AD11=""),"",IF(ABS(AC11-17400)&lt;=870,1,0)+IF(ABS(AD11-28800)&lt;=1440,1,0))</x:f>
      </x:c>
      <x:c r="AF11" s="15"/>
      <x:c r="AG11" s="15"/>
      <x:c r="AH11" s="15" t="str">
        <x:f>IF(OR(M11="",AB11=""),"",AB11-M11)</x:f>
      </x:c>
      <x:c r="AI11" s="15" t="str">
        <x:f>IF(OR(P11="",AE11=""),"",AE11-P11)</x:f>
      </x:c>
      <x:c r="AJ11" s="15" t="str">
        <x:f>IF(OR(Q11="",AF11=""),"",AF11-Q11)</x:f>
      </x:c>
      <x:c r="AK11" s="15"/>
    </x:row>
    <x:row r="12">
      <x:c r="A12" s="15" t="str">
        <x:v>P11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 t="str">
        <x:f>IF(COUNTA(C12:L12)=0,"",(IF(C12='Pre Test Key'!$D$2,1,0)+IF(D12='Pre Test Key'!$D$3,1,0)+IF(E12='Pre Test Key'!$D$4,1,0)+IF(F12='Pre Test Key'!$D$5,1,0)+IF(G12='Pre Test Key'!$D$6,1,0)+IF(H12='Pre Test Key'!$D$7,1,0)+IF(I12='Pre Test Key'!$D$8,1,0)+IF(J12='Pre Test Key'!$D$9,1,0)+IF(K12='Pre Test Key'!$D$10,1,0)+IF(L12='Pre Test Key'!$D$11,1,0)))</x:f>
      </x:c>
      <x:c r="N12" s="15"/>
      <x:c r="O12" s="15"/>
      <x:c r="P12" s="15" t="str">
        <x:f>IF(AND(N12="",O12=""),"",IF(ABS(N12-11400)&lt;=570,1,0)+IF(ABS(O12-22800)&lt;=1140,1,0))</x:f>
      </x:c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  <x:c r="AA12" s="15"/>
      <x:c r="AB12" s="15" t="str">
        <x:f>IF(COUNTA(R12:AA12)=0,"",(IF(R12='Post Test Key'!$D$2,1,0)+IF(S12='Post Test Key'!$D$3,1,0)+IF(T12='Post Test Key'!$D$4,1,0)+IF(U12='Post Test Key'!$D$5,1,0)+IF(V12='Post Test Key'!$D$6,1,0)+IF(W12='Post Test Key'!$D$7,1,0)+IF(X12='Post Test Key'!$D$8,1,0)+IF(Y12='Post Test Key'!$D$9,1,0)+IF(Z12='Post Test Key'!$D$10,1,0)+IF(AA12='Post Test Key'!$D$11,1,0)))</x:f>
      </x:c>
      <x:c r="AC12" s="15"/>
      <x:c r="AD12" s="15"/>
      <x:c r="AE12" s="15" t="str">
        <x:f>IF(AND(AC12="",AD12=""),"",IF(ABS(AC12-17400)&lt;=870,1,0)+IF(ABS(AD12-28800)&lt;=1440,1,0))</x:f>
      </x:c>
      <x:c r="AF12" s="15"/>
      <x:c r="AG12" s="15"/>
      <x:c r="AH12" s="15" t="str">
        <x:f>IF(OR(M12="",AB12=""),"",AB12-M12)</x:f>
      </x:c>
      <x:c r="AI12" s="15" t="str">
        <x:f>IF(OR(P12="",AE12=""),"",AE12-P12)</x:f>
      </x:c>
      <x:c r="AJ12" s="15" t="str">
        <x:f>IF(OR(Q12="",AF12=""),"",AF12-Q12)</x:f>
      </x:c>
      <x:c r="AK12" s="15"/>
    </x:row>
    <x:row r="13">
      <x:c r="A13" s="15" t="str">
        <x:v>P12</x:v>
      </x:c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 t="str">
        <x:f>IF(COUNTA(C13:L13)=0,"",(IF(C13='Pre Test Key'!$D$2,1,0)+IF(D13='Pre Test Key'!$D$3,1,0)+IF(E13='Pre Test Key'!$D$4,1,0)+IF(F13='Pre Test Key'!$D$5,1,0)+IF(G13='Pre Test Key'!$D$6,1,0)+IF(H13='Pre Test Key'!$D$7,1,0)+IF(I13='Pre Test Key'!$D$8,1,0)+IF(J13='Pre Test Key'!$D$9,1,0)+IF(K13='Pre Test Key'!$D$10,1,0)+IF(L13='Pre Test Key'!$D$11,1,0)))</x:f>
      </x:c>
      <x:c r="N13" s="15"/>
      <x:c r="O13" s="15"/>
      <x:c r="P13" s="15" t="str">
        <x:f>IF(AND(N13="",O13=""),"",IF(ABS(N13-11400)&lt;=570,1,0)+IF(ABS(O13-22800)&lt;=1140,1,0))</x:f>
      </x:c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  <x:c r="AA13" s="15"/>
      <x:c r="AB13" s="15" t="str">
        <x:f>IF(COUNTA(R13:AA13)=0,"",(IF(R13='Post Test Key'!$D$2,1,0)+IF(S13='Post Test Key'!$D$3,1,0)+IF(T13='Post Test Key'!$D$4,1,0)+IF(U13='Post Test Key'!$D$5,1,0)+IF(V13='Post Test Key'!$D$6,1,0)+IF(W13='Post Test Key'!$D$7,1,0)+IF(X13='Post Test Key'!$D$8,1,0)+IF(Y13='Post Test Key'!$D$9,1,0)+IF(Z13='Post Test Key'!$D$10,1,0)+IF(AA13='Post Test Key'!$D$11,1,0)))</x:f>
      </x:c>
      <x:c r="AC13" s="15"/>
      <x:c r="AD13" s="15"/>
      <x:c r="AE13" s="15" t="str">
        <x:f>IF(AND(AC13="",AD13=""),"",IF(ABS(AC13-17400)&lt;=870,1,0)+IF(ABS(AD13-28800)&lt;=1440,1,0))</x:f>
      </x:c>
      <x:c r="AF13" s="15"/>
      <x:c r="AG13" s="15"/>
      <x:c r="AH13" s="15" t="str">
        <x:f>IF(OR(M13="",AB13=""),"",AB13-M13)</x:f>
      </x:c>
      <x:c r="AI13" s="15" t="str">
        <x:f>IF(OR(P13="",AE13=""),"",AE13-P13)</x:f>
      </x:c>
      <x:c r="AJ13" s="15" t="str">
        <x:f>IF(OR(Q13="",AF13=""),"",AF13-Q13)</x:f>
      </x:c>
      <x:c r="AK13" s="15"/>
    </x:row>
    <x:row r="14">
      <x:c r="A14" s="15" t="str">
        <x:v>P13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 t="str">
        <x:f>IF(COUNTA(C14:L14)=0,"",(IF(C14='Pre Test Key'!$D$2,1,0)+IF(D14='Pre Test Key'!$D$3,1,0)+IF(E14='Pre Test Key'!$D$4,1,0)+IF(F14='Pre Test Key'!$D$5,1,0)+IF(G14='Pre Test Key'!$D$6,1,0)+IF(H14='Pre Test Key'!$D$7,1,0)+IF(I14='Pre Test Key'!$D$8,1,0)+IF(J14='Pre Test Key'!$D$9,1,0)+IF(K14='Pre Test Key'!$D$10,1,0)+IF(L14='Pre Test Key'!$D$11,1,0)))</x:f>
      </x:c>
      <x:c r="N14" s="15"/>
      <x:c r="O14" s="15"/>
      <x:c r="P14" s="15" t="str">
        <x:f>IF(AND(N14="",O14=""),"",IF(ABS(N14-11400)&lt;=570,1,0)+IF(ABS(O14-22800)&lt;=1140,1,0))</x:f>
      </x:c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  <x:c r="AA14" s="15"/>
      <x:c r="AB14" s="15" t="str">
        <x:f>IF(COUNTA(R14:AA14)=0,"",(IF(R14='Post Test Key'!$D$2,1,0)+IF(S14='Post Test Key'!$D$3,1,0)+IF(T14='Post Test Key'!$D$4,1,0)+IF(U14='Post Test Key'!$D$5,1,0)+IF(V14='Post Test Key'!$D$6,1,0)+IF(W14='Post Test Key'!$D$7,1,0)+IF(X14='Post Test Key'!$D$8,1,0)+IF(Y14='Post Test Key'!$D$9,1,0)+IF(Z14='Post Test Key'!$D$10,1,0)+IF(AA14='Post Test Key'!$D$11,1,0)))</x:f>
      </x:c>
      <x:c r="AC14" s="15"/>
      <x:c r="AD14" s="15"/>
      <x:c r="AE14" s="15" t="str">
        <x:f>IF(AND(AC14="",AD14=""),"",IF(ABS(AC14-17400)&lt;=870,1,0)+IF(ABS(AD14-28800)&lt;=1440,1,0))</x:f>
      </x:c>
      <x:c r="AF14" s="15"/>
      <x:c r="AG14" s="15"/>
      <x:c r="AH14" s="15" t="str">
        <x:f>IF(OR(M14="",AB14=""),"",AB14-M14)</x:f>
      </x:c>
      <x:c r="AI14" s="15" t="str">
        <x:f>IF(OR(P14="",AE14=""),"",AE14-P14)</x:f>
      </x:c>
      <x:c r="AJ14" s="15" t="str">
        <x:f>IF(OR(Q14="",AF14=""),"",AF14-Q14)</x:f>
      </x:c>
      <x:c r="AK14" s="15"/>
    </x:row>
    <x:row r="15">
      <x:c r="A15" s="15" t="str">
        <x:v>P14</x:v>
      </x:c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 t="str">
        <x:f>IF(COUNTA(C15:L15)=0,"",(IF(C15='Pre Test Key'!$D$2,1,0)+IF(D15='Pre Test Key'!$D$3,1,0)+IF(E15='Pre Test Key'!$D$4,1,0)+IF(F15='Pre Test Key'!$D$5,1,0)+IF(G15='Pre Test Key'!$D$6,1,0)+IF(H15='Pre Test Key'!$D$7,1,0)+IF(I15='Pre Test Key'!$D$8,1,0)+IF(J15='Pre Test Key'!$D$9,1,0)+IF(K15='Pre Test Key'!$D$10,1,0)+IF(L15='Pre Test Key'!$D$11,1,0)))</x:f>
      </x:c>
      <x:c r="N15" s="15"/>
      <x:c r="O15" s="15"/>
      <x:c r="P15" s="15" t="str">
        <x:f>IF(AND(N15="",O15=""),"",IF(ABS(N15-11400)&lt;=570,1,0)+IF(ABS(O15-22800)&lt;=1140,1,0))</x:f>
      </x:c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  <x:c r="AA15" s="15"/>
      <x:c r="AB15" s="15" t="str">
        <x:f>IF(COUNTA(R15:AA15)=0,"",(IF(R15='Post Test Key'!$D$2,1,0)+IF(S15='Post Test Key'!$D$3,1,0)+IF(T15='Post Test Key'!$D$4,1,0)+IF(U15='Post Test Key'!$D$5,1,0)+IF(V15='Post Test Key'!$D$6,1,0)+IF(W15='Post Test Key'!$D$7,1,0)+IF(X15='Post Test Key'!$D$8,1,0)+IF(Y15='Post Test Key'!$D$9,1,0)+IF(Z15='Post Test Key'!$D$10,1,0)+IF(AA15='Post Test Key'!$D$11,1,0)))</x:f>
      </x:c>
      <x:c r="AC15" s="15"/>
      <x:c r="AD15" s="15"/>
      <x:c r="AE15" s="15" t="str">
        <x:f>IF(AND(AC15="",AD15=""),"",IF(ABS(AC15-17400)&lt;=870,1,0)+IF(ABS(AD15-28800)&lt;=1440,1,0))</x:f>
      </x:c>
      <x:c r="AF15" s="15"/>
      <x:c r="AG15" s="15"/>
      <x:c r="AH15" s="15" t="str">
        <x:f>IF(OR(M15="",AB15=""),"",AB15-M15)</x:f>
      </x:c>
      <x:c r="AI15" s="15" t="str">
        <x:f>IF(OR(P15="",AE15=""),"",AE15-P15)</x:f>
      </x:c>
      <x:c r="AJ15" s="15" t="str">
        <x:f>IF(OR(Q15="",AF15=""),"",AF15-Q15)</x:f>
      </x:c>
      <x:c r="AK15" s="15"/>
    </x:row>
    <x:row r="16">
      <x:c r="A16" s="15" t="str">
        <x:v>P15</x:v>
      </x:c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 t="str">
        <x:f>IF(COUNTA(C16:L16)=0,"",(IF(C16='Pre Test Key'!$D$2,1,0)+IF(D16='Pre Test Key'!$D$3,1,0)+IF(E16='Pre Test Key'!$D$4,1,0)+IF(F16='Pre Test Key'!$D$5,1,0)+IF(G16='Pre Test Key'!$D$6,1,0)+IF(H16='Pre Test Key'!$D$7,1,0)+IF(I16='Pre Test Key'!$D$8,1,0)+IF(J16='Pre Test Key'!$D$9,1,0)+IF(K16='Pre Test Key'!$D$10,1,0)+IF(L16='Pre Test Key'!$D$11,1,0)))</x:f>
      </x:c>
      <x:c r="N16" s="15"/>
      <x:c r="O16" s="15"/>
      <x:c r="P16" s="15" t="str">
        <x:f>IF(AND(N16="",O16=""),"",IF(ABS(N16-11400)&lt;=570,1,0)+IF(ABS(O16-22800)&lt;=1140,1,0))</x:f>
      </x:c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5" t="str">
        <x:f>IF(COUNTA(R16:AA16)=0,"",(IF(R16='Post Test Key'!$D$2,1,0)+IF(S16='Post Test Key'!$D$3,1,0)+IF(T16='Post Test Key'!$D$4,1,0)+IF(U16='Post Test Key'!$D$5,1,0)+IF(V16='Post Test Key'!$D$6,1,0)+IF(W16='Post Test Key'!$D$7,1,0)+IF(X16='Post Test Key'!$D$8,1,0)+IF(Y16='Post Test Key'!$D$9,1,0)+IF(Z16='Post Test Key'!$D$10,1,0)+IF(AA16='Post Test Key'!$D$11,1,0)))</x:f>
      </x:c>
      <x:c r="AC16" s="15"/>
      <x:c r="AD16" s="15"/>
      <x:c r="AE16" s="15" t="str">
        <x:f>IF(AND(AC16="",AD16=""),"",IF(ABS(AC16-17400)&lt;=870,1,0)+IF(ABS(AD16-28800)&lt;=1440,1,0))</x:f>
      </x:c>
      <x:c r="AF16" s="15"/>
      <x:c r="AG16" s="15"/>
      <x:c r="AH16" s="15" t="str">
        <x:f>IF(OR(M16="",AB16=""),"",AB16-M16)</x:f>
      </x:c>
      <x:c r="AI16" s="15" t="str">
        <x:f>IF(OR(P16="",AE16=""),"",AE16-P16)</x:f>
      </x:c>
      <x:c r="AJ16" s="15" t="str">
        <x:f>IF(OR(Q16="",AF16=""),"",AF16-Q16)</x:f>
      </x:c>
      <x:c r="AK16" s="15"/>
    </x:row>
    <x:row r="17">
      <x:c r="A17" s="15" t="str">
        <x:v>P16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 t="str">
        <x:f>IF(COUNTA(C17:L17)=0,"",(IF(C17='Pre Test Key'!$D$2,1,0)+IF(D17='Pre Test Key'!$D$3,1,0)+IF(E17='Pre Test Key'!$D$4,1,0)+IF(F17='Pre Test Key'!$D$5,1,0)+IF(G17='Pre Test Key'!$D$6,1,0)+IF(H17='Pre Test Key'!$D$7,1,0)+IF(I17='Pre Test Key'!$D$8,1,0)+IF(J17='Pre Test Key'!$D$9,1,0)+IF(K17='Pre Test Key'!$D$10,1,0)+IF(L17='Pre Test Key'!$D$11,1,0)))</x:f>
      </x:c>
      <x:c r="N17" s="15"/>
      <x:c r="O17" s="15"/>
      <x:c r="P17" s="15" t="str">
        <x:f>IF(AND(N17="",O17=""),"",IF(ABS(N17-11400)&lt;=570,1,0)+IF(ABS(O17-22800)&lt;=1140,1,0))</x:f>
      </x:c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15" t="str">
        <x:f>IF(COUNTA(R17:AA17)=0,"",(IF(R17='Post Test Key'!$D$2,1,0)+IF(S17='Post Test Key'!$D$3,1,0)+IF(T17='Post Test Key'!$D$4,1,0)+IF(U17='Post Test Key'!$D$5,1,0)+IF(V17='Post Test Key'!$D$6,1,0)+IF(W17='Post Test Key'!$D$7,1,0)+IF(X17='Post Test Key'!$D$8,1,0)+IF(Y17='Post Test Key'!$D$9,1,0)+IF(Z17='Post Test Key'!$D$10,1,0)+IF(AA17='Post Test Key'!$D$11,1,0)))</x:f>
      </x:c>
      <x:c r="AC17" s="15"/>
      <x:c r="AD17" s="15"/>
      <x:c r="AE17" s="15" t="str">
        <x:f>IF(AND(AC17="",AD17=""),"",IF(ABS(AC17-17400)&lt;=870,1,0)+IF(ABS(AD17-28800)&lt;=1440,1,0))</x:f>
      </x:c>
      <x:c r="AF17" s="15"/>
      <x:c r="AG17" s="15"/>
      <x:c r="AH17" s="15" t="str">
        <x:f>IF(OR(M17="",AB17=""),"",AB17-M17)</x:f>
      </x:c>
      <x:c r="AI17" s="15" t="str">
        <x:f>IF(OR(P17="",AE17=""),"",AE17-P17)</x:f>
      </x:c>
      <x:c r="AJ17" s="15" t="str">
        <x:f>IF(OR(Q17="",AF17=""),"",AF17-Q17)</x:f>
      </x:c>
      <x:c r="AK17" s="15"/>
    </x:row>
    <x:row r="18">
      <x:c r="A18" s="15" t="str">
        <x:v>P17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 t="str">
        <x:f>IF(COUNTA(C18:L18)=0,"",(IF(C18='Pre Test Key'!$D$2,1,0)+IF(D18='Pre Test Key'!$D$3,1,0)+IF(E18='Pre Test Key'!$D$4,1,0)+IF(F18='Pre Test Key'!$D$5,1,0)+IF(G18='Pre Test Key'!$D$6,1,0)+IF(H18='Pre Test Key'!$D$7,1,0)+IF(I18='Pre Test Key'!$D$8,1,0)+IF(J18='Pre Test Key'!$D$9,1,0)+IF(K18='Pre Test Key'!$D$10,1,0)+IF(L18='Pre Test Key'!$D$11,1,0)))</x:f>
      </x:c>
      <x:c r="N18" s="15"/>
      <x:c r="O18" s="15"/>
      <x:c r="P18" s="15" t="str">
        <x:f>IF(AND(N18="",O18=""),"",IF(ABS(N18-11400)&lt;=570,1,0)+IF(ABS(O18-22800)&lt;=1140,1,0))</x:f>
      </x:c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15" t="str">
        <x:f>IF(COUNTA(R18:AA18)=0,"",(IF(R18='Post Test Key'!$D$2,1,0)+IF(S18='Post Test Key'!$D$3,1,0)+IF(T18='Post Test Key'!$D$4,1,0)+IF(U18='Post Test Key'!$D$5,1,0)+IF(V18='Post Test Key'!$D$6,1,0)+IF(W18='Post Test Key'!$D$7,1,0)+IF(X18='Post Test Key'!$D$8,1,0)+IF(Y18='Post Test Key'!$D$9,1,0)+IF(Z18='Post Test Key'!$D$10,1,0)+IF(AA18='Post Test Key'!$D$11,1,0)))</x:f>
      </x:c>
      <x:c r="AC18" s="15"/>
      <x:c r="AD18" s="15"/>
      <x:c r="AE18" s="15" t="str">
        <x:f>IF(AND(AC18="",AD18=""),"",IF(ABS(AC18-17400)&lt;=870,1,0)+IF(ABS(AD18-28800)&lt;=1440,1,0))</x:f>
      </x:c>
      <x:c r="AF18" s="15"/>
      <x:c r="AG18" s="15"/>
      <x:c r="AH18" s="15" t="str">
        <x:f>IF(OR(M18="",AB18=""),"",AB18-M18)</x:f>
      </x:c>
      <x:c r="AI18" s="15" t="str">
        <x:f>IF(OR(P18="",AE18=""),"",AE18-P18)</x:f>
      </x:c>
      <x:c r="AJ18" s="15" t="str">
        <x:f>IF(OR(Q18="",AF18=""),"",AF18-Q18)</x:f>
      </x:c>
      <x:c r="AK18" s="15"/>
    </x:row>
    <x:row r="19">
      <x:c r="A19" s="15" t="str">
        <x:v>P18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 t="str">
        <x:f>IF(COUNTA(C19:L19)=0,"",(IF(C19='Pre Test Key'!$D$2,1,0)+IF(D19='Pre Test Key'!$D$3,1,0)+IF(E19='Pre Test Key'!$D$4,1,0)+IF(F19='Pre Test Key'!$D$5,1,0)+IF(G19='Pre Test Key'!$D$6,1,0)+IF(H19='Pre Test Key'!$D$7,1,0)+IF(I19='Pre Test Key'!$D$8,1,0)+IF(J19='Pre Test Key'!$D$9,1,0)+IF(K19='Pre Test Key'!$D$10,1,0)+IF(L19='Pre Test Key'!$D$11,1,0)))</x:f>
      </x:c>
      <x:c r="N19" s="15"/>
      <x:c r="O19" s="15"/>
      <x:c r="P19" s="15" t="str">
        <x:f>IF(AND(N19="",O19=""),"",IF(ABS(N19-11400)&lt;=570,1,0)+IF(ABS(O19-22800)&lt;=1140,1,0))</x:f>
      </x:c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  <x:c r="AA19" s="15"/>
      <x:c r="AB19" s="15" t="str">
        <x:f>IF(COUNTA(R19:AA19)=0,"",(IF(R19='Post Test Key'!$D$2,1,0)+IF(S19='Post Test Key'!$D$3,1,0)+IF(T19='Post Test Key'!$D$4,1,0)+IF(U19='Post Test Key'!$D$5,1,0)+IF(V19='Post Test Key'!$D$6,1,0)+IF(W19='Post Test Key'!$D$7,1,0)+IF(X19='Post Test Key'!$D$8,1,0)+IF(Y19='Post Test Key'!$D$9,1,0)+IF(Z19='Post Test Key'!$D$10,1,0)+IF(AA19='Post Test Key'!$D$11,1,0)))</x:f>
      </x:c>
      <x:c r="AC19" s="15"/>
      <x:c r="AD19" s="15"/>
      <x:c r="AE19" s="15" t="str">
        <x:f>IF(AND(AC19="",AD19=""),"",IF(ABS(AC19-17400)&lt;=870,1,0)+IF(ABS(AD19-28800)&lt;=1440,1,0))</x:f>
      </x:c>
      <x:c r="AF19" s="15"/>
      <x:c r="AG19" s="15"/>
      <x:c r="AH19" s="15" t="str">
        <x:f>IF(OR(M19="",AB19=""),"",AB19-M19)</x:f>
      </x:c>
      <x:c r="AI19" s="15" t="str">
        <x:f>IF(OR(P19="",AE19=""),"",AE19-P19)</x:f>
      </x:c>
      <x:c r="AJ19" s="15" t="str">
        <x:f>IF(OR(Q19="",AF19=""),"",AF19-Q19)</x:f>
      </x:c>
      <x:c r="AK19" s="15"/>
    </x:row>
    <x:row r="20">
      <x:c r="A20" s="15" t="str">
        <x:v>P19</x:v>
      </x:c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 t="str">
        <x:f>IF(COUNTA(C20:L20)=0,"",(IF(C20='Pre Test Key'!$D$2,1,0)+IF(D20='Pre Test Key'!$D$3,1,0)+IF(E20='Pre Test Key'!$D$4,1,0)+IF(F20='Pre Test Key'!$D$5,1,0)+IF(G20='Pre Test Key'!$D$6,1,0)+IF(H20='Pre Test Key'!$D$7,1,0)+IF(I20='Pre Test Key'!$D$8,1,0)+IF(J20='Pre Test Key'!$D$9,1,0)+IF(K20='Pre Test Key'!$D$10,1,0)+IF(L20='Pre Test Key'!$D$11,1,0)))</x:f>
      </x:c>
      <x:c r="N20" s="15"/>
      <x:c r="O20" s="15"/>
      <x:c r="P20" s="15" t="str">
        <x:f>IF(AND(N20="",O20=""),"",IF(ABS(N20-11400)&lt;=570,1,0)+IF(ABS(O20-22800)&lt;=1140,1,0))</x:f>
      </x:c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15" t="str">
        <x:f>IF(COUNTA(R20:AA20)=0,"",(IF(R20='Post Test Key'!$D$2,1,0)+IF(S20='Post Test Key'!$D$3,1,0)+IF(T20='Post Test Key'!$D$4,1,0)+IF(U20='Post Test Key'!$D$5,1,0)+IF(V20='Post Test Key'!$D$6,1,0)+IF(W20='Post Test Key'!$D$7,1,0)+IF(X20='Post Test Key'!$D$8,1,0)+IF(Y20='Post Test Key'!$D$9,1,0)+IF(Z20='Post Test Key'!$D$10,1,0)+IF(AA20='Post Test Key'!$D$11,1,0)))</x:f>
      </x:c>
      <x:c r="AC20" s="15"/>
      <x:c r="AD20" s="15"/>
      <x:c r="AE20" s="15" t="str">
        <x:f>IF(AND(AC20="",AD20=""),"",IF(ABS(AC20-17400)&lt;=870,1,0)+IF(ABS(AD20-28800)&lt;=1440,1,0))</x:f>
      </x:c>
      <x:c r="AF20" s="15"/>
      <x:c r="AG20" s="15"/>
      <x:c r="AH20" s="15" t="str">
        <x:f>IF(OR(M20="",AB20=""),"",AB20-M20)</x:f>
      </x:c>
      <x:c r="AI20" s="15" t="str">
        <x:f>IF(OR(P20="",AE20=""),"",AE20-P20)</x:f>
      </x:c>
      <x:c r="AJ20" s="15" t="str">
        <x:f>IF(OR(Q20="",AF20=""),"",AF20-Q20)</x:f>
      </x:c>
      <x:c r="AK20" s="15"/>
    </x:row>
    <x:row r="21">
      <x:c r="A21" s="15" t="str">
        <x:v>P20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 t="str">
        <x:f>IF(COUNTA(C21:L21)=0,"",(IF(C21='Pre Test Key'!$D$2,1,0)+IF(D21='Pre Test Key'!$D$3,1,0)+IF(E21='Pre Test Key'!$D$4,1,0)+IF(F21='Pre Test Key'!$D$5,1,0)+IF(G21='Pre Test Key'!$D$6,1,0)+IF(H21='Pre Test Key'!$D$7,1,0)+IF(I21='Pre Test Key'!$D$8,1,0)+IF(J21='Pre Test Key'!$D$9,1,0)+IF(K21='Pre Test Key'!$D$10,1,0)+IF(L21='Pre Test Key'!$D$11,1,0)))</x:f>
      </x:c>
      <x:c r="N21" s="15"/>
      <x:c r="O21" s="15"/>
      <x:c r="P21" s="15" t="str">
        <x:f>IF(AND(N21="",O21=""),"",IF(ABS(N21-11400)&lt;=570,1,0)+IF(ABS(O21-22800)&lt;=1140,1,0))</x:f>
      </x:c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15" t="str">
        <x:f>IF(COUNTA(R21:AA21)=0,"",(IF(R21='Post Test Key'!$D$2,1,0)+IF(S21='Post Test Key'!$D$3,1,0)+IF(T21='Post Test Key'!$D$4,1,0)+IF(U21='Post Test Key'!$D$5,1,0)+IF(V21='Post Test Key'!$D$6,1,0)+IF(W21='Post Test Key'!$D$7,1,0)+IF(X21='Post Test Key'!$D$8,1,0)+IF(Y21='Post Test Key'!$D$9,1,0)+IF(Z21='Post Test Key'!$D$10,1,0)+IF(AA21='Post Test Key'!$D$11,1,0)))</x:f>
      </x:c>
      <x:c r="AC21" s="15"/>
      <x:c r="AD21" s="15"/>
      <x:c r="AE21" s="15" t="str">
        <x:f>IF(AND(AC21="",AD21=""),"",IF(ABS(AC21-17400)&lt;=870,1,0)+IF(ABS(AD21-28800)&lt;=1440,1,0))</x:f>
      </x:c>
      <x:c r="AF21" s="15"/>
      <x:c r="AG21" s="15"/>
      <x:c r="AH21" s="15" t="str">
        <x:f>IF(OR(M21="",AB21=""),"",AB21-M21)</x:f>
      </x:c>
      <x:c r="AI21" s="15" t="str">
        <x:f>IF(OR(P21="",AE21=""),"",AE21-P21)</x:f>
      </x:c>
      <x:c r="AJ21" s="15" t="str">
        <x:f>IF(OR(Q21="",AF21=""),"",AF21-Q21)</x:f>
      </x:c>
      <x:c r="AK21" s="15"/>
    </x:row>
    <x:row r="22">
      <x:c r="A22" s="15" t="str">
        <x:v>P21</x:v>
      </x:c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 t="str">
        <x:f>IF(COUNTA(C22:L22)=0,"",(IF(C22='Pre Test Key'!$D$2,1,0)+IF(D22='Pre Test Key'!$D$3,1,0)+IF(E22='Pre Test Key'!$D$4,1,0)+IF(F22='Pre Test Key'!$D$5,1,0)+IF(G22='Pre Test Key'!$D$6,1,0)+IF(H22='Pre Test Key'!$D$7,1,0)+IF(I22='Pre Test Key'!$D$8,1,0)+IF(J22='Pre Test Key'!$D$9,1,0)+IF(K22='Pre Test Key'!$D$10,1,0)+IF(L22='Pre Test Key'!$D$11,1,0)))</x:f>
      </x:c>
      <x:c r="N22" s="15"/>
      <x:c r="O22" s="15"/>
      <x:c r="P22" s="15" t="str">
        <x:f>IF(AND(N22="",O22=""),"",IF(ABS(N22-11400)&lt;=570,1,0)+IF(ABS(O22-22800)&lt;=1140,1,0))</x:f>
      </x:c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  <x:c r="AA22" s="15"/>
      <x:c r="AB22" s="15" t="str">
        <x:f>IF(COUNTA(R22:AA22)=0,"",(IF(R22='Post Test Key'!$D$2,1,0)+IF(S22='Post Test Key'!$D$3,1,0)+IF(T22='Post Test Key'!$D$4,1,0)+IF(U22='Post Test Key'!$D$5,1,0)+IF(V22='Post Test Key'!$D$6,1,0)+IF(W22='Post Test Key'!$D$7,1,0)+IF(X22='Post Test Key'!$D$8,1,0)+IF(Y22='Post Test Key'!$D$9,1,0)+IF(Z22='Post Test Key'!$D$10,1,0)+IF(AA22='Post Test Key'!$D$11,1,0)))</x:f>
      </x:c>
      <x:c r="AC22" s="15"/>
      <x:c r="AD22" s="15"/>
      <x:c r="AE22" s="15" t="str">
        <x:f>IF(AND(AC22="",AD22=""),"",IF(ABS(AC22-17400)&lt;=870,1,0)+IF(ABS(AD22-28800)&lt;=1440,1,0))</x:f>
      </x:c>
      <x:c r="AF22" s="15"/>
      <x:c r="AG22" s="15"/>
      <x:c r="AH22" s="15" t="str">
        <x:f>IF(OR(M22="",AB22=""),"",AB22-M22)</x:f>
      </x:c>
      <x:c r="AI22" s="15" t="str">
        <x:f>IF(OR(P22="",AE22=""),"",AE22-P22)</x:f>
      </x:c>
      <x:c r="AJ22" s="15" t="str">
        <x:f>IF(OR(Q22="",AF22=""),"",AF22-Q22)</x:f>
      </x:c>
      <x:c r="AK22" s="15"/>
    </x:row>
    <x:row r="23">
      <x:c r="A23" s="15" t="str">
        <x:v>P22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 t="str">
        <x:f>IF(COUNTA(C23:L23)=0,"",(IF(C23='Pre Test Key'!$D$2,1,0)+IF(D23='Pre Test Key'!$D$3,1,0)+IF(E23='Pre Test Key'!$D$4,1,0)+IF(F23='Pre Test Key'!$D$5,1,0)+IF(G23='Pre Test Key'!$D$6,1,0)+IF(H23='Pre Test Key'!$D$7,1,0)+IF(I23='Pre Test Key'!$D$8,1,0)+IF(J23='Pre Test Key'!$D$9,1,0)+IF(K23='Pre Test Key'!$D$10,1,0)+IF(L23='Pre Test Key'!$D$11,1,0)))</x:f>
      </x:c>
      <x:c r="N23" s="15"/>
      <x:c r="O23" s="15"/>
      <x:c r="P23" s="15" t="str">
        <x:f>IF(AND(N23="",O23=""),"",IF(ABS(N23-11400)&lt;=570,1,0)+IF(ABS(O23-22800)&lt;=1140,1,0))</x:f>
      </x:c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15" t="str">
        <x:f>IF(COUNTA(R23:AA23)=0,"",(IF(R23='Post Test Key'!$D$2,1,0)+IF(S23='Post Test Key'!$D$3,1,0)+IF(T23='Post Test Key'!$D$4,1,0)+IF(U23='Post Test Key'!$D$5,1,0)+IF(V23='Post Test Key'!$D$6,1,0)+IF(W23='Post Test Key'!$D$7,1,0)+IF(X23='Post Test Key'!$D$8,1,0)+IF(Y23='Post Test Key'!$D$9,1,0)+IF(Z23='Post Test Key'!$D$10,1,0)+IF(AA23='Post Test Key'!$D$11,1,0)))</x:f>
      </x:c>
      <x:c r="AC23" s="15"/>
      <x:c r="AD23" s="15"/>
      <x:c r="AE23" s="15" t="str">
        <x:f>IF(AND(AC23="",AD23=""),"",IF(ABS(AC23-17400)&lt;=870,1,0)+IF(ABS(AD23-28800)&lt;=1440,1,0))</x:f>
      </x:c>
      <x:c r="AF23" s="15"/>
      <x:c r="AG23" s="15"/>
      <x:c r="AH23" s="15" t="str">
        <x:f>IF(OR(M23="",AB23=""),"",AB23-M23)</x:f>
      </x:c>
      <x:c r="AI23" s="15" t="str">
        <x:f>IF(OR(P23="",AE23=""),"",AE23-P23)</x:f>
      </x:c>
      <x:c r="AJ23" s="15" t="str">
        <x:f>IF(OR(Q23="",AF23=""),"",AF23-Q23)</x:f>
      </x:c>
      <x:c r="AK23" s="15"/>
    </x:row>
    <x:row r="24">
      <x:c r="A24" s="15" t="str">
        <x:v>P23</x:v>
      </x:c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 t="str">
        <x:f>IF(COUNTA(C24:L24)=0,"",(IF(C24='Pre Test Key'!$D$2,1,0)+IF(D24='Pre Test Key'!$D$3,1,0)+IF(E24='Pre Test Key'!$D$4,1,0)+IF(F24='Pre Test Key'!$D$5,1,0)+IF(G24='Pre Test Key'!$D$6,1,0)+IF(H24='Pre Test Key'!$D$7,1,0)+IF(I24='Pre Test Key'!$D$8,1,0)+IF(J24='Pre Test Key'!$D$9,1,0)+IF(K24='Pre Test Key'!$D$10,1,0)+IF(L24='Pre Test Key'!$D$11,1,0)))</x:f>
      </x:c>
      <x:c r="N24" s="15"/>
      <x:c r="O24" s="15"/>
      <x:c r="P24" s="15" t="str">
        <x:f>IF(AND(N24="",O24=""),"",IF(ABS(N24-11400)&lt;=570,1,0)+IF(ABS(O24-22800)&lt;=1140,1,0))</x:f>
      </x:c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  <x:c r="AA24" s="15"/>
      <x:c r="AB24" s="15" t="str">
        <x:f>IF(COUNTA(R24:AA24)=0,"",(IF(R24='Post Test Key'!$D$2,1,0)+IF(S24='Post Test Key'!$D$3,1,0)+IF(T24='Post Test Key'!$D$4,1,0)+IF(U24='Post Test Key'!$D$5,1,0)+IF(V24='Post Test Key'!$D$6,1,0)+IF(W24='Post Test Key'!$D$7,1,0)+IF(X24='Post Test Key'!$D$8,1,0)+IF(Y24='Post Test Key'!$D$9,1,0)+IF(Z24='Post Test Key'!$D$10,1,0)+IF(AA24='Post Test Key'!$D$11,1,0)))</x:f>
      </x:c>
      <x:c r="AC24" s="15"/>
      <x:c r="AD24" s="15"/>
      <x:c r="AE24" s="15" t="str">
        <x:f>IF(AND(AC24="",AD24=""),"",IF(ABS(AC24-17400)&lt;=870,1,0)+IF(ABS(AD24-28800)&lt;=1440,1,0))</x:f>
      </x:c>
      <x:c r="AF24" s="15"/>
      <x:c r="AG24" s="15"/>
      <x:c r="AH24" s="15" t="str">
        <x:f>IF(OR(M24="",AB24=""),"",AB24-M24)</x:f>
      </x:c>
      <x:c r="AI24" s="15" t="str">
        <x:f>IF(OR(P24="",AE24=""),"",AE24-P24)</x:f>
      </x:c>
      <x:c r="AJ24" s="15" t="str">
        <x:f>IF(OR(Q24="",AF24=""),"",AF24-Q24)</x:f>
      </x:c>
      <x:c r="AK24" s="15"/>
    </x:row>
    <x:row r="25">
      <x:c r="A25" s="15" t="str">
        <x:v>P24</x:v>
      </x:c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 t="str">
        <x:f>IF(COUNTA(C25:L25)=0,"",(IF(C25='Pre Test Key'!$D$2,1,0)+IF(D25='Pre Test Key'!$D$3,1,0)+IF(E25='Pre Test Key'!$D$4,1,0)+IF(F25='Pre Test Key'!$D$5,1,0)+IF(G25='Pre Test Key'!$D$6,1,0)+IF(H25='Pre Test Key'!$D$7,1,0)+IF(I25='Pre Test Key'!$D$8,1,0)+IF(J25='Pre Test Key'!$D$9,1,0)+IF(K25='Pre Test Key'!$D$10,1,0)+IF(L25='Pre Test Key'!$D$11,1,0)))</x:f>
      </x:c>
      <x:c r="N25" s="15"/>
      <x:c r="O25" s="15"/>
      <x:c r="P25" s="15" t="str">
        <x:f>IF(AND(N25="",O25=""),"",IF(ABS(N25-11400)&lt;=570,1,0)+IF(ABS(O25-22800)&lt;=1140,1,0))</x:f>
      </x:c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15" t="str">
        <x:f>IF(COUNTA(R25:AA25)=0,"",(IF(R25='Post Test Key'!$D$2,1,0)+IF(S25='Post Test Key'!$D$3,1,0)+IF(T25='Post Test Key'!$D$4,1,0)+IF(U25='Post Test Key'!$D$5,1,0)+IF(V25='Post Test Key'!$D$6,1,0)+IF(W25='Post Test Key'!$D$7,1,0)+IF(X25='Post Test Key'!$D$8,1,0)+IF(Y25='Post Test Key'!$D$9,1,0)+IF(Z25='Post Test Key'!$D$10,1,0)+IF(AA25='Post Test Key'!$D$11,1,0)))</x:f>
      </x:c>
      <x:c r="AC25" s="15"/>
      <x:c r="AD25" s="15"/>
      <x:c r="AE25" s="15" t="str">
        <x:f>IF(AND(AC25="",AD25=""),"",IF(ABS(AC25-17400)&lt;=870,1,0)+IF(ABS(AD25-28800)&lt;=1440,1,0))</x:f>
      </x:c>
      <x:c r="AF25" s="15"/>
      <x:c r="AG25" s="15"/>
      <x:c r="AH25" s="15" t="str">
        <x:f>IF(OR(M25="",AB25=""),"",AB25-M25)</x:f>
      </x:c>
      <x:c r="AI25" s="15" t="str">
        <x:f>IF(OR(P25="",AE25=""),"",AE25-P25)</x:f>
      </x:c>
      <x:c r="AJ25" s="15" t="str">
        <x:f>IF(OR(Q25="",AF25=""),"",AF25-Q25)</x:f>
      </x:c>
      <x:c r="AK25" s="15"/>
    </x:row>
    <x:row r="26">
      <x:c r="A26" s="15" t="str">
        <x:v>P25</x:v>
      </x:c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 t="str">
        <x:f>IF(COUNTA(C26:L26)=0,"",(IF(C26='Pre Test Key'!$D$2,1,0)+IF(D26='Pre Test Key'!$D$3,1,0)+IF(E26='Pre Test Key'!$D$4,1,0)+IF(F26='Pre Test Key'!$D$5,1,0)+IF(G26='Pre Test Key'!$D$6,1,0)+IF(H26='Pre Test Key'!$D$7,1,0)+IF(I26='Pre Test Key'!$D$8,1,0)+IF(J26='Pre Test Key'!$D$9,1,0)+IF(K26='Pre Test Key'!$D$10,1,0)+IF(L26='Pre Test Key'!$D$11,1,0)))</x:f>
      </x:c>
      <x:c r="N26" s="15"/>
      <x:c r="O26" s="15"/>
      <x:c r="P26" s="15" t="str">
        <x:f>IF(AND(N26="",O26=""),"",IF(ABS(N26-11400)&lt;=570,1,0)+IF(ABS(O26-22800)&lt;=1140,1,0))</x:f>
      </x:c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5"/>
      <x:c r="AB26" s="15" t="str">
        <x:f>IF(COUNTA(R26:AA26)=0,"",(IF(R26='Post Test Key'!$D$2,1,0)+IF(S26='Post Test Key'!$D$3,1,0)+IF(T26='Post Test Key'!$D$4,1,0)+IF(U26='Post Test Key'!$D$5,1,0)+IF(V26='Post Test Key'!$D$6,1,0)+IF(W26='Post Test Key'!$D$7,1,0)+IF(X26='Post Test Key'!$D$8,1,0)+IF(Y26='Post Test Key'!$D$9,1,0)+IF(Z26='Post Test Key'!$D$10,1,0)+IF(AA26='Post Test Key'!$D$11,1,0)))</x:f>
      </x:c>
      <x:c r="AC26" s="15"/>
      <x:c r="AD26" s="15"/>
      <x:c r="AE26" s="15" t="str">
        <x:f>IF(AND(AC26="",AD26=""),"",IF(ABS(AC26-17400)&lt;=870,1,0)+IF(ABS(AD26-28800)&lt;=1440,1,0))</x:f>
      </x:c>
      <x:c r="AF26" s="15"/>
      <x:c r="AG26" s="15"/>
      <x:c r="AH26" s="15" t="str">
        <x:f>IF(OR(M26="",AB26=""),"",AB26-M26)</x:f>
      </x:c>
      <x:c r="AI26" s="15" t="str">
        <x:f>IF(OR(P26="",AE26=""),"",AE26-P26)</x:f>
      </x:c>
      <x:c r="AJ26" s="15" t="str">
        <x:f>IF(OR(Q26="",AF26=""),"",AF26-Q26)</x:f>
      </x:c>
      <x:c r="AK26" s="15"/>
    </x:row>
    <x:row r="27">
      <x:c r="A27" s="15" t="str">
        <x:v>P26</x:v>
      </x:c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 t="str">
        <x:f>IF(COUNTA(C27:L27)=0,"",(IF(C27='Pre Test Key'!$D$2,1,0)+IF(D27='Pre Test Key'!$D$3,1,0)+IF(E27='Pre Test Key'!$D$4,1,0)+IF(F27='Pre Test Key'!$D$5,1,0)+IF(G27='Pre Test Key'!$D$6,1,0)+IF(H27='Pre Test Key'!$D$7,1,0)+IF(I27='Pre Test Key'!$D$8,1,0)+IF(J27='Pre Test Key'!$D$9,1,0)+IF(K27='Pre Test Key'!$D$10,1,0)+IF(L27='Pre Test Key'!$D$11,1,0)))</x:f>
      </x:c>
      <x:c r="N27" s="15"/>
      <x:c r="O27" s="15"/>
      <x:c r="P27" s="15" t="str">
        <x:f>IF(AND(N27="",O27=""),"",IF(ABS(N27-11400)&lt;=570,1,0)+IF(ABS(O27-22800)&lt;=1140,1,0))</x:f>
      </x:c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15" t="str">
        <x:f>IF(COUNTA(R27:AA27)=0,"",(IF(R27='Post Test Key'!$D$2,1,0)+IF(S27='Post Test Key'!$D$3,1,0)+IF(T27='Post Test Key'!$D$4,1,0)+IF(U27='Post Test Key'!$D$5,1,0)+IF(V27='Post Test Key'!$D$6,1,0)+IF(W27='Post Test Key'!$D$7,1,0)+IF(X27='Post Test Key'!$D$8,1,0)+IF(Y27='Post Test Key'!$D$9,1,0)+IF(Z27='Post Test Key'!$D$10,1,0)+IF(AA27='Post Test Key'!$D$11,1,0)))</x:f>
      </x:c>
      <x:c r="AC27" s="15"/>
      <x:c r="AD27" s="15"/>
      <x:c r="AE27" s="15" t="str">
        <x:f>IF(AND(AC27="",AD27=""),"",IF(ABS(AC27-17400)&lt;=870,1,0)+IF(ABS(AD27-28800)&lt;=1440,1,0))</x:f>
      </x:c>
      <x:c r="AF27" s="15"/>
      <x:c r="AG27" s="15"/>
      <x:c r="AH27" s="15" t="str">
        <x:f>IF(OR(M27="",AB27=""),"",AB27-M27)</x:f>
      </x:c>
      <x:c r="AI27" s="15" t="str">
        <x:f>IF(OR(P27="",AE27=""),"",AE27-P27)</x:f>
      </x:c>
      <x:c r="AJ27" s="15" t="str">
        <x:f>IF(OR(Q27="",AF27=""),"",AF27-Q27)</x:f>
      </x:c>
      <x:c r="AK27" s="15"/>
    </x:row>
    <x:row r="28">
      <x:c r="A28" s="15" t="str">
        <x:v>P27</x:v>
      </x:c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 t="str">
        <x:f>IF(COUNTA(C28:L28)=0,"",(IF(C28='Pre Test Key'!$D$2,1,0)+IF(D28='Pre Test Key'!$D$3,1,0)+IF(E28='Pre Test Key'!$D$4,1,0)+IF(F28='Pre Test Key'!$D$5,1,0)+IF(G28='Pre Test Key'!$D$6,1,0)+IF(H28='Pre Test Key'!$D$7,1,0)+IF(I28='Pre Test Key'!$D$8,1,0)+IF(J28='Pre Test Key'!$D$9,1,0)+IF(K28='Pre Test Key'!$D$10,1,0)+IF(L28='Pre Test Key'!$D$11,1,0)))</x:f>
      </x:c>
      <x:c r="N28" s="15"/>
      <x:c r="O28" s="15"/>
      <x:c r="P28" s="15" t="str">
        <x:f>IF(AND(N28="",O28=""),"",IF(ABS(N28-11400)&lt;=570,1,0)+IF(ABS(O28-22800)&lt;=1140,1,0))</x:f>
      </x:c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15" t="str">
        <x:f>IF(COUNTA(R28:AA28)=0,"",(IF(R28='Post Test Key'!$D$2,1,0)+IF(S28='Post Test Key'!$D$3,1,0)+IF(T28='Post Test Key'!$D$4,1,0)+IF(U28='Post Test Key'!$D$5,1,0)+IF(V28='Post Test Key'!$D$6,1,0)+IF(W28='Post Test Key'!$D$7,1,0)+IF(X28='Post Test Key'!$D$8,1,0)+IF(Y28='Post Test Key'!$D$9,1,0)+IF(Z28='Post Test Key'!$D$10,1,0)+IF(AA28='Post Test Key'!$D$11,1,0)))</x:f>
      </x:c>
      <x:c r="AC28" s="15"/>
      <x:c r="AD28" s="15"/>
      <x:c r="AE28" s="15" t="str">
        <x:f>IF(AND(AC28="",AD28=""),"",IF(ABS(AC28-17400)&lt;=870,1,0)+IF(ABS(AD28-28800)&lt;=1440,1,0))</x:f>
      </x:c>
      <x:c r="AF28" s="15"/>
      <x:c r="AG28" s="15"/>
      <x:c r="AH28" s="15" t="str">
        <x:f>IF(OR(M28="",AB28=""),"",AB28-M28)</x:f>
      </x:c>
      <x:c r="AI28" s="15" t="str">
        <x:f>IF(OR(P28="",AE28=""),"",AE28-P28)</x:f>
      </x:c>
      <x:c r="AJ28" s="15" t="str">
        <x:f>IF(OR(Q28="",AF28=""),"",AF28-Q28)</x:f>
      </x:c>
      <x:c r="AK28" s="15"/>
    </x:row>
    <x:row r="29">
      <x:c r="A29" s="15" t="str">
        <x:v>P28</x:v>
      </x:c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 t="str">
        <x:f>IF(COUNTA(C29:L29)=0,"",(IF(C29='Pre Test Key'!$D$2,1,0)+IF(D29='Pre Test Key'!$D$3,1,0)+IF(E29='Pre Test Key'!$D$4,1,0)+IF(F29='Pre Test Key'!$D$5,1,0)+IF(G29='Pre Test Key'!$D$6,1,0)+IF(H29='Pre Test Key'!$D$7,1,0)+IF(I29='Pre Test Key'!$D$8,1,0)+IF(J29='Pre Test Key'!$D$9,1,0)+IF(K29='Pre Test Key'!$D$10,1,0)+IF(L29='Pre Test Key'!$D$11,1,0)))</x:f>
      </x:c>
      <x:c r="N29" s="15"/>
      <x:c r="O29" s="15"/>
      <x:c r="P29" s="15" t="str">
        <x:f>IF(AND(N29="",O29=""),"",IF(ABS(N29-11400)&lt;=570,1,0)+IF(ABS(O29-22800)&lt;=1140,1,0))</x:f>
      </x:c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5"/>
      <x:c r="AB29" s="15" t="str">
        <x:f>IF(COUNTA(R29:AA29)=0,"",(IF(R29='Post Test Key'!$D$2,1,0)+IF(S29='Post Test Key'!$D$3,1,0)+IF(T29='Post Test Key'!$D$4,1,0)+IF(U29='Post Test Key'!$D$5,1,0)+IF(V29='Post Test Key'!$D$6,1,0)+IF(W29='Post Test Key'!$D$7,1,0)+IF(X29='Post Test Key'!$D$8,1,0)+IF(Y29='Post Test Key'!$D$9,1,0)+IF(Z29='Post Test Key'!$D$10,1,0)+IF(AA29='Post Test Key'!$D$11,1,0)))</x:f>
      </x:c>
      <x:c r="AC29" s="15"/>
      <x:c r="AD29" s="15"/>
      <x:c r="AE29" s="15" t="str">
        <x:f>IF(AND(AC29="",AD29=""),"",IF(ABS(AC29-17400)&lt;=870,1,0)+IF(ABS(AD29-28800)&lt;=1440,1,0))</x:f>
      </x:c>
      <x:c r="AF29" s="15"/>
      <x:c r="AG29" s="15"/>
      <x:c r="AH29" s="15" t="str">
        <x:f>IF(OR(M29="",AB29=""),"",AB29-M29)</x:f>
      </x:c>
      <x:c r="AI29" s="15" t="str">
        <x:f>IF(OR(P29="",AE29=""),"",AE29-P29)</x:f>
      </x:c>
      <x:c r="AJ29" s="15" t="str">
        <x:f>IF(OR(Q29="",AF29=""),"",AF29-Q29)</x:f>
      </x:c>
      <x:c r="AK29" s="15"/>
    </x:row>
    <x:row r="30">
      <x:c r="A30" s="15" t="str">
        <x:v>P29</x:v>
      </x:c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 t="str">
        <x:f>IF(COUNTA(C30:L30)=0,"",(IF(C30='Pre Test Key'!$D$2,1,0)+IF(D30='Pre Test Key'!$D$3,1,0)+IF(E30='Pre Test Key'!$D$4,1,0)+IF(F30='Pre Test Key'!$D$5,1,0)+IF(G30='Pre Test Key'!$D$6,1,0)+IF(H30='Pre Test Key'!$D$7,1,0)+IF(I30='Pre Test Key'!$D$8,1,0)+IF(J30='Pre Test Key'!$D$9,1,0)+IF(K30='Pre Test Key'!$D$10,1,0)+IF(L30='Pre Test Key'!$D$11,1,0)))</x:f>
      </x:c>
      <x:c r="N30" s="15"/>
      <x:c r="O30" s="15"/>
      <x:c r="P30" s="15" t="str">
        <x:f>IF(AND(N30="",O30=""),"",IF(ABS(N30-11400)&lt;=570,1,0)+IF(ABS(O30-22800)&lt;=1140,1,0))</x:f>
      </x:c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15" t="str">
        <x:f>IF(COUNTA(R30:AA30)=0,"",(IF(R30='Post Test Key'!$D$2,1,0)+IF(S30='Post Test Key'!$D$3,1,0)+IF(T30='Post Test Key'!$D$4,1,0)+IF(U30='Post Test Key'!$D$5,1,0)+IF(V30='Post Test Key'!$D$6,1,0)+IF(W30='Post Test Key'!$D$7,1,0)+IF(X30='Post Test Key'!$D$8,1,0)+IF(Y30='Post Test Key'!$D$9,1,0)+IF(Z30='Post Test Key'!$D$10,1,0)+IF(AA30='Post Test Key'!$D$11,1,0)))</x:f>
      </x:c>
      <x:c r="AC30" s="15"/>
      <x:c r="AD30" s="15"/>
      <x:c r="AE30" s="15" t="str">
        <x:f>IF(AND(AC30="",AD30=""),"",IF(ABS(AC30-17400)&lt;=870,1,0)+IF(ABS(AD30-28800)&lt;=1440,1,0))</x:f>
      </x:c>
      <x:c r="AF30" s="15"/>
      <x:c r="AG30" s="15"/>
      <x:c r="AH30" s="15" t="str">
        <x:f>IF(OR(M30="",AB30=""),"",AB30-M30)</x:f>
      </x:c>
      <x:c r="AI30" s="15" t="str">
        <x:f>IF(OR(P30="",AE30=""),"",AE30-P30)</x:f>
      </x:c>
      <x:c r="AJ30" s="15" t="str">
        <x:f>IF(OR(Q30="",AF30=""),"",AF30-Q30)</x:f>
      </x:c>
      <x:c r="AK30" s="15"/>
    </x:row>
    <x:row r="31">
      <x:c r="A31" s="15" t="str">
        <x:v>P30</x:v>
      </x:c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 t="str">
        <x:f>IF(COUNTA(C31:L31)=0,"",(IF(C31='Pre Test Key'!$D$2,1,0)+IF(D31='Pre Test Key'!$D$3,1,0)+IF(E31='Pre Test Key'!$D$4,1,0)+IF(F31='Pre Test Key'!$D$5,1,0)+IF(G31='Pre Test Key'!$D$6,1,0)+IF(H31='Pre Test Key'!$D$7,1,0)+IF(I31='Pre Test Key'!$D$8,1,0)+IF(J31='Pre Test Key'!$D$9,1,0)+IF(K31='Pre Test Key'!$D$10,1,0)+IF(L31='Pre Test Key'!$D$11,1,0)))</x:f>
      </x:c>
      <x:c r="N31" s="15"/>
      <x:c r="O31" s="15"/>
      <x:c r="P31" s="15" t="str">
        <x:f>IF(AND(N31="",O31=""),"",IF(ABS(N31-11400)&lt;=570,1,0)+IF(ABS(O31-22800)&lt;=1140,1,0))</x:f>
      </x:c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15" t="str">
        <x:f>IF(COUNTA(R31:AA31)=0,"",(IF(R31='Post Test Key'!$D$2,1,0)+IF(S31='Post Test Key'!$D$3,1,0)+IF(T31='Post Test Key'!$D$4,1,0)+IF(U31='Post Test Key'!$D$5,1,0)+IF(V31='Post Test Key'!$D$6,1,0)+IF(W31='Post Test Key'!$D$7,1,0)+IF(X31='Post Test Key'!$D$8,1,0)+IF(Y31='Post Test Key'!$D$9,1,0)+IF(Z31='Post Test Key'!$D$10,1,0)+IF(AA31='Post Test Key'!$D$11,1,0)))</x:f>
      </x:c>
      <x:c r="AC31" s="15"/>
      <x:c r="AD31" s="15"/>
      <x:c r="AE31" s="15" t="str">
        <x:f>IF(AND(AC31="",AD31=""),"",IF(ABS(AC31-17400)&lt;=870,1,0)+IF(ABS(AD31-28800)&lt;=1440,1,0))</x:f>
      </x:c>
      <x:c r="AF31" s="15"/>
      <x:c r="AG31" s="15"/>
      <x:c r="AH31" s="15" t="str">
        <x:f>IF(OR(M31="",AB31=""),"",AB31-M31)</x:f>
      </x:c>
      <x:c r="AI31" s="15" t="str">
        <x:f>IF(OR(P31="",AE31=""),"",AE31-P31)</x:f>
      </x:c>
      <x:c r="AJ31" s="15" t="str">
        <x:f>IF(OR(Q31="",AF31=""),"",AF31-Q31)</x:f>
      </x:c>
      <x:c r="AK31" s="15"/>
    </x:row>
  </x:sheetData>
  <x:conditionalFormatting sqref="AH2:AJ3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4">
    <x:dataValidation type="list" sqref="B2:B31">
      <x:formula1>"Yes,No"</x:formula1>
    </x:dataValidation>
    <x:dataValidation type="list" sqref="C2:C31">
      <x:formula1>"Lower concern,Higher concern"</x:formula1>
    </x:dataValidation>
    <x:dataValidation type="list" sqref="D2:D31">
      <x:formula1>"Lower concern,Higher concern"</x:formula1>
    </x:dataValidation>
    <x:dataValidation type="list" sqref="E2:E31">
      <x:formula1>"Lower concern,Higher concern"</x:formula1>
    </x:dataValidation>
    <x:dataValidation type="list" sqref="F2:F31">
      <x:formula1>"Lower concern,Higher concern"</x:formula1>
    </x:dataValidation>
    <x:dataValidation type="list" sqref="G2:G31">
      <x:formula1>"Lower concern,Higher concern"</x:formula1>
    </x:dataValidation>
    <x:dataValidation type="list" sqref="H2:H31">
      <x:formula1>"Lower concern,Higher concern"</x:formula1>
    </x:dataValidation>
    <x:dataValidation type="list" sqref="I2:I31">
      <x:formula1>"Lower concern,Higher concern"</x:formula1>
    </x:dataValidation>
    <x:dataValidation type="list" sqref="J2:J31">
      <x:formula1>"Lower concern,Higher concern"</x:formula1>
    </x:dataValidation>
    <x:dataValidation type="list" sqref="K2:K31">
      <x:formula1>"Lower concern,Higher concern"</x:formula1>
    </x:dataValidation>
    <x:dataValidation type="list" sqref="L2:L31">
      <x:formula1>"Lower concern,Higher concern"</x:formula1>
    </x:dataValidation>
    <x:dataValidation type="list" sqref="R2:R31">
      <x:formula1>"Lower concern,Higher concern"</x:formula1>
    </x:dataValidation>
    <x:dataValidation type="list" sqref="S2:S31">
      <x:formula1>"Lower concern,Higher concern"</x:formula1>
    </x:dataValidation>
    <x:dataValidation type="list" sqref="T2:T31">
      <x:formula1>"Lower concern,Higher concern"</x:formula1>
    </x:dataValidation>
    <x:dataValidation type="list" sqref="U2:U31">
      <x:formula1>"Lower concern,Higher concern"</x:formula1>
    </x:dataValidation>
    <x:dataValidation type="list" sqref="V2:V31">
      <x:formula1>"Lower concern,Higher concern"</x:formula1>
    </x:dataValidation>
    <x:dataValidation type="list" sqref="W2:W31">
      <x:formula1>"Lower concern,Higher concern"</x:formula1>
    </x:dataValidation>
    <x:dataValidation type="list" sqref="X2:X31">
      <x:formula1>"Lower concern,Higher concern"</x:formula1>
    </x:dataValidation>
    <x:dataValidation type="list" sqref="Y2:Y31">
      <x:formula1>"Lower concern,Higher concern"</x:formula1>
    </x:dataValidation>
    <x:dataValidation type="list" sqref="Z2:Z31">
      <x:formula1>"Lower concern,Higher concern"</x:formula1>
    </x:dataValidation>
    <x:dataValidation type="list" sqref="AA2:AA31">
      <x:formula1>"Lower concern,Higher concern"</x:formula1>
    </x:dataValidation>
    <x:dataValidation type="list" sqref="Q2:Q31">
      <x:formula1>"1,2,3,4,5"</x:formula1>
    </x:dataValidation>
    <x:dataValidation type="list" sqref="AF2:AF31">
      <x:formula1>"1,2,3,4,5"</x:formula1>
    </x:dataValidation>
    <x:dataValidation type="list" sqref="AG2:AG31">
      <x:formula1>"1,2,3,4,5"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5" max="5" width="22" hidden="0" customWidth="1"/>
    <x:col min="6" max="6" width="18" hidden="0" customWidth="1"/>
  </x:cols>
  <x:sheetData>
    <x:row r="1">
      <x:c r="A1" s="4" t="str">
        <x:v>Pilot Results Dashboard</x:v>
      </x:c>
      <x:c r="B1" s="4"/>
      <x:c r="C1" s="4"/>
      <x:c r="D1" s="4"/>
      <x:c r="E1" s="4"/>
      <x:c r="F1" s="4"/>
      <x:c r="G1" s="4"/>
      <x:c r="H1" s="4"/>
    </x:row>
    <x:row r="3">
      <x:c r="A3" s="19" t="str">
        <x:v>Metric</x:v>
      </x:c>
      <x:c r="B3" s="19" t="str">
        <x:v>Pre</x:v>
      </x:c>
      <x:c r="C3" s="19" t="str">
        <x:v>Post</x:v>
      </x:c>
      <x:c r="E3" s="19" t="str">
        <x:v>Improvement metric</x:v>
      </x:c>
      <x:c r="F3" s="19" t="str">
        <x:v>Average change</x:v>
      </x:c>
    </x:row>
    <x:row r="4">
      <x:c r="A4" s="30" t="str">
        <x:v>Average risk accuracy /10</x:v>
      </x:c>
      <x:c r="B4" s="30" t="str">
        <x:f>IFERROR(AVERAGE('Participant Scores'!M2:M31),"")</x:f>
      </x:c>
      <x:c r="C4" s="30" t="str">
        <x:f>IFERROR(AVERAGE('Participant Scores'!AB2:AB31),"")</x:f>
      </x:c>
      <x:c r="E4" s="30" t="str">
        <x:v>Risk accuracy Δ</x:v>
      </x:c>
      <x:c r="F4" s="30" t="str">
        <x:f>IFERROR(AVERAGE('Participant Scores'!AH2:AH31),"")</x:f>
      </x:c>
    </x:row>
    <x:row r="5">
      <x:c r="A5" s="30" t="str">
        <x:v>Average cost accuracy /2</x:v>
      </x:c>
      <x:c r="B5" s="30" t="str">
        <x:f>IFERROR(AVERAGE('Participant Scores'!P2:P31),"")</x:f>
      </x:c>
      <x:c r="C5" s="30" t="str">
        <x:f>IFERROR(AVERAGE('Participant Scores'!AE2:AE31),"")</x:f>
      </x:c>
      <x:c r="E5" s="30" t="str">
        <x:v>Cost accuracy Δ</x:v>
      </x:c>
      <x:c r="F5" s="30" t="str">
        <x:f>IFERROR(AVERAGE('Participant Scores'!AI2:AI31),"")</x:f>
      </x:c>
    </x:row>
    <x:row r="6">
      <x:c r="A6" s="30" t="str">
        <x:v>Average confidence /5</x:v>
      </x:c>
      <x:c r="B6" s="30" t="str">
        <x:f>IFERROR(AVERAGE('Participant Scores'!Q2:Q31),"")</x:f>
      </x:c>
      <x:c r="C6" s="30" t="str">
        <x:f>IFERROR(AVERAGE('Participant Scores'!AF2:AF31),"")</x:f>
      </x:c>
      <x:c r="E6" s="30" t="str">
        <x:v>Confidence Δ</x:v>
      </x:c>
      <x:c r="F6" s="30" t="str">
        <x:f>IFERROR(AVERAGE('Participant Scores'!AJ2:AJ31),"")</x:f>
      </x:c>
    </x:row>
    <x:row r="7">
      <x:c r="A7" s="30" t="str">
        <x:v>Average usability /5</x:v>
      </x:c>
      <x:c r="B7" s="30" t="str"/>
      <x:c r="C7" s="30" t="str">
        <x:f>IFERROR(AVERAGE('Participant Scores'!AG2:AG31),"")</x:f>
      </x:c>
    </x:row>
    <x:row r="8">
      <x:c r="A8" s="30" t="str">
        <x:v>Completed participants</x:v>
      </x:c>
      <x:c r="B8" s="30" t="n">
        <x:f>COUNTIF('Participant Scores'!B2:B31,"Yes")</x:f>
        <x:v>0</x:v>
      </x:c>
      <x:c r="C8" s="30" t="n">
        <x:f>COUNT('Participant Scores'!AB2:AB31)</x:f>
        <x:v>0</x:v>
      </x:c>
    </x:row>
    <x:row r="29">
      <x:c r="A29" s="33" t="str">
        <x:v>Use only genuine participant data. Do not fill missing rows with synthetic values. Report weak, zero or negative improvements honestly.</x:v>
      </x:c>
      <x:c r="B29" s="33"/>
      <x:c r="C29" s="33"/>
      <x:c r="D29" s="33"/>
      <x:c r="E29" s="33"/>
      <x:c r="F29" s="33"/>
      <x:c r="G29" s="33"/>
      <x:c r="H29" s="33"/>
    </x:row>
    <x:row r="30">
      <x:c r="A30" s="33"/>
      <x:c r="B30" s="33"/>
      <x:c r="C30" s="33"/>
      <x:c r="D30" s="33"/>
      <x:c r="E30" s="33"/>
      <x:c r="F30" s="33"/>
      <x:c r="G30" s="33"/>
      <x:c r="H30" s="33"/>
    </x:row>
    <x:row r="31">
      <x:c r="A31" s="33"/>
      <x:c r="B31" s="33"/>
      <x:c r="C31" s="33"/>
      <x:c r="D31" s="33"/>
      <x:c r="E31" s="33"/>
      <x:c r="F31" s="33"/>
      <x:c r="G31" s="33"/>
      <x:c r="H31" s="33"/>
    </x:row>
  </x:sheetData>
  <x:mergeCells>
    <x:mergeCell ref="A1:H1"/>
    <x:mergeCell ref="A29:H31"/>
  </x:mergeCells>
  <x:pageMargins left="0.7" right="0.7" top="0.75" bottom="0.75" header="0.3" footer="0.3"/>
  <x:drawing xmlns:r="http://schemas.openxmlformats.org/officeDocument/2006/relationships" r:id="R3f829dcc9f7442c5"/>
</x:worksheet>
</file>